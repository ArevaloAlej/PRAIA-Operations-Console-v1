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KPI ATC" sheetId="1" r:id="rId5"/>
    <sheet state="visible" name="Guía de Implementación" sheetId="2" r:id="rId6"/>
    <sheet state="visible" name="Vaciado de Evaluaciones" sheetId="3" r:id="rId7"/>
    <sheet state="visible" name="Estándares COPC - Referencia" sheetId="4" r:id="rId8"/>
    <sheet state="visible" name="CSAT Consolidado" sheetId="5" r:id="rId9"/>
    <sheet state="visible" name="Correlación CSAT vs KPIs" sheetId="6" r:id="rId10"/>
  </sheets>
  <definedNames/>
  <calcPr/>
</workbook>
</file>

<file path=xl/sharedStrings.xml><?xml version="1.0" encoding="utf-8"?>
<sst xmlns="http://schemas.openxmlformats.org/spreadsheetml/2006/main" count="414" uniqueCount="294">
  <si>
    <t>HOJA DE CONTROL KPI - ATC PRAIA HOTEL</t>
  </si>
  <si>
    <t>Fecha de elaboración: 26/05/2026</t>
  </si>
  <si>
    <t>Basado en estándares COPC y mejores prácticas de la industria</t>
  </si>
  <si>
    <t>⚠️ METODOLOGÍA: Muestreo aleatorio sin departamento de calidad. Guesty + WhatsApp. Recolección manual de datos.</t>
  </si>
  <si>
    <t>Métrica KPI</t>
  </si>
  <si>
    <t>Unidad</t>
  </si>
  <si>
    <t>Estándar COPC</t>
  </si>
  <si>
    <t>Target PRAIA</t>
  </si>
  <si>
    <t>Fuente de Datos</t>
  </si>
  <si>
    <t>1. TIEMPO DE PRIMERA RESPUESTA (FRT)</t>
  </si>
  <si>
    <t>Definición: Tiempo desde que llega el mensaje del huésped hasta que el agente envía su primera respuesta</t>
  </si>
  <si>
    <t>Detalles de la Métrica</t>
  </si>
  <si>
    <t>Minutos</t>
  </si>
  <si>
    <t>&lt; 5 min</t>
  </si>
  <si>
    <t>Muestreo manual - Guesty y WhatsApp</t>
  </si>
  <si>
    <t>📌 Métrica crítica. Medir timestamps en muestra aleatoria. Al menos 2-3 conversaciones por agente/mes.</t>
  </si>
  <si>
    <t>2. TIEMPO PROMEDIO DE RESPUESTA (ART)</t>
  </si>
  <si>
    <t>Definición: Promedio de tiempo entre respuestas del agente en cada conversación</t>
  </si>
  <si>
    <t>&lt; 10 min</t>
  </si>
  <si>
    <t>Guesty (puede exportar tiempos) + Muestreo WhatsApp</t>
  </si>
  <si>
    <t>📌 Combinar datos Guesty con muestreo manual WhatsApp. Separar por agente.</t>
  </si>
  <si>
    <t>3. RESOLUCIÓN EN PRIMER CONTACTO (FCR)</t>
  </si>
  <si>
    <t>Definición: Porcentaje de casos resueltos sin escalación en la primera interacción</t>
  </si>
  <si>
    <t>%</t>
  </si>
  <si>
    <t>70-85%</t>
  </si>
  <si>
    <t>Auditoría manual de casos cerrados - Guesty y WhatsApp</t>
  </si>
  <si>
    <t>📌 Muestreo semanal: 5-10 casos cerrados por agente. Verificar si huésped reabrió dentro de 24h.</t>
  </si>
  <si>
    <t>4. TASA DE RESPUESTA</t>
  </si>
  <si>
    <t>Definición: Porcentaje de mensajes de huéspedes que reciben respuesta</t>
  </si>
  <si>
    <t>95%+</t>
  </si>
  <si>
    <t>Guesty + Muestreo manual WhatsApp</t>
  </si>
  <si>
    <t>📌 Cálculo: (Mensajes respondidos / Total mensajes entrantes) x 100</t>
  </si>
  <si>
    <t>5. TASA DE ESCALACIÓN</t>
  </si>
  <si>
    <t>Definición: Porcentaje de casos escalados a supervisor o gerencia</t>
  </si>
  <si>
    <t>≤ 10%</t>
  </si>
  <si>
    <t>Playa Desktop (casos reabiertos) + Escalaciones manuales</t>
  </si>
  <si>
    <t>📌 Fuente automática: Playa Desktop captura reaperturas. Fuente manual: Escalaciones directas.</t>
  </si>
  <si>
    <t>6. VOLUMEN DE MENSAJES POR AGENTE</t>
  </si>
  <si>
    <t>Definición: Promedio de mensajes manejados por agente por turno</t>
  </si>
  <si>
    <t>Mensajes/turno</t>
  </si>
  <si>
    <t>30-50/turno</t>
  </si>
  <si>
    <t>📌 Indicador de balance de carga de trabajo. Evita sobrecarga y burnout.</t>
  </si>
  <si>
    <t>REGISTRO DE MUESTREO ALEATORIO</t>
  </si>
  <si>
    <t>INSTRUCCIONES: Realizar muestreo aleatorio en cualquier momento del mes. No hay día o hora específica. Mínimo 2 muestras por agente/mes. Registrar fecha, hora y métrica observada.</t>
  </si>
  <si>
    <t>Fecha Muestreo</t>
  </si>
  <si>
    <t>Agente (Pedro/Zaby)</t>
  </si>
  <si>
    <t>Métrica Auditada</t>
  </si>
  <si>
    <t>Valor Observado</t>
  </si>
  <si>
    <t>Resultado</t>
  </si>
  <si>
    <t>Notas</t>
  </si>
  <si>
    <t>RESUMEN DE MÉTRICAS MENSUALES</t>
  </si>
  <si>
    <t>Métrica</t>
  </si>
  <si>
    <t>Agente</t>
  </si>
  <si>
    <t>Valor Promedio</t>
  </si>
  <si>
    <t>Target COPC</t>
  </si>
  <si>
    <t>Estado</t>
  </si>
  <si>
    <t>Observaciones</t>
  </si>
  <si>
    <t>FRT</t>
  </si>
  <si>
    <t>Pedro</t>
  </si>
  <si>
    <t>min</t>
  </si>
  <si>
    <t>&lt; 5</t>
  </si>
  <si>
    <t>Zaby</t>
  </si>
  <si>
    <t>ART</t>
  </si>
  <si>
    <t>&lt; 10</t>
  </si>
  <si>
    <t>FCR</t>
  </si>
  <si>
    <t>Tasa Respuesta</t>
  </si>
  <si>
    <t>Escalación</t>
  </si>
  <si>
    <t>Vol. Mensajes</t>
  </si>
  <si>
    <t>msg/turno</t>
  </si>
  <si>
    <t>30-50</t>
  </si>
  <si>
    <t>GUÍA RÁPIDA DE IMPLEMENTACIÓN</t>
  </si>
  <si>
    <t>PRAIA HOTEL ATC - Guesty + WhatsApp - Sin Departamento de Calidad</t>
  </si>
  <si>
    <t>PASO 1: CONFIGURACIÓN INICIAL</t>
  </si>
  <si>
    <t>📋 Personalizar Targets</t>
  </si>
  <si>
    <t>En la hoja "Control KPI ATC", columna "Target PRAIA": Define qué valores adoptarás para cada métrica. ¿Mantienes COPC 100%? ¿Ajustas para tu contexto? Ejemplo: FRT puede ser 5-7 min en lugar de &lt;5.</t>
  </si>
  <si>
    <t>👥 Asignar Responsables</t>
  </si>
  <si>
    <t>TÚ (Alejandro): Revisor mensual + coordinador muestreo. Pedro &amp; Zaby: Ejecutores de muestreo cuando sea posible. No es dedicado, es cuando tengan tiempo disponible.</t>
  </si>
  <si>
    <t>📅 Calendario Flexible</t>
  </si>
  <si>
    <t>Sin fechas fijas. Muestreo aleatorio cuando surge oportunidad. Ejemplo: "Hoy revisé 3 conversaciones de Pedro en Guesty". Eso cuenta como muestra.</t>
  </si>
  <si>
    <t>🔧 Validar Acceso a Herramientas</t>
  </si>
  <si>
    <t>Confirmar acceso a: Guesty (exportar reportes, ver timestamps). WhatsApp Business (acceso a logs con timestamps). Playa Desktop (revisar reaperturas). Google Drive (guardar datos si es necesario).</t>
  </si>
  <si>
    <t>📊 Familiarizarse con Guesty Reportes</t>
  </si>
  <si>
    <t>Explora en Guesty: Dónde están los reportes de conversaciones por agente. Cómo exportar historial. Dónde ver timestamps. Esto facilita auditorías futuras.</t>
  </si>
  <si>
    <t>PASO 2: ENTRENAR A PEDRO Y ZABY</t>
  </si>
  <si>
    <t>📖 Mostrar Definiciones COPC</t>
  </si>
  <si>
    <t>Compartir sheet "Estándares COPC - Referencia". Explicar por qué importan (relación directa con CSAT). Ejemplo: "Si resolvemos 80% en primer contacto, clientes 90% satisfechos. Si requieren 3+ contactos, solo 55%".</t>
  </si>
  <si>
    <t>💡 Explicar Muestreo Guesty + WhatsApp</t>
  </si>
  <si>
    <t>"Guesty es donde registramos la mayoría de mensajes. WhatsApp es manual. Cuando tenga tiempo, voy a revisar conversaciones de ambas plataformas. Ustedes me ayudan proporcionando información cuando sea necesario. Es colaborativo."</t>
  </si>
  <si>
    <t>🎯 Clarificar Targets</t>
  </si>
  <si>
    <t>Mostrar qué número es "bueno" vs "necesita mejora". Ejemplo FRT: &lt;5 min = excelente, 5-8 min = aceptable, &gt;8 min = mejorar.</t>
  </si>
  <si>
    <t>✅ Validar Comprensión</t>
  </si>
  <si>
    <t>Hacer preguntas: "¿Qué es FCR?" "¿Cuándo es una escalación?" Asegurarse que entienden qué se mide en Guesty vs WhatsApp.</t>
  </si>
  <si>
    <t>PASO 3: RECOLECCIÓN DE DATOS (MUESTREO GUESTY + WHATSAPP)</t>
  </si>
  <si>
    <t>Cuando Audites FRT/ART</t>
  </si>
  <si>
    <t>Abre Guesty: Selecciona 2-3 conversaciones cerradas de cada agente. Anota timestamps de primer mensaje y respuestas. WhatsApp: Abre 2-3 chats cerrados, anota timestamps igual. Calcula diferencias. Registra en "Registro de Muestreo Aleatorio" con fecha actual, agente, métrica, valor.</t>
  </si>
  <si>
    <t>Cuando Audites FCR</t>
  </si>
  <si>
    <t>Cualquier día: en Guesty o WhatsApp, revisa 5 casos cerrados. ¿Reabrió en 24h? SÍ=falló, NO=éxito. Registra porcentaje de éxito ese día. Mensual: promedia.</t>
  </si>
  <si>
    <t>Cuando Revises Escalaciones</t>
  </si>
  <si>
    <t>Playa Desktop te da info automática de reaperturas. Exporta ese reporte mensual. Suma eso + cualquier escalación manual. Calcula porcentaje.</t>
  </si>
  <si>
    <t>Tasa Respuesta - Usa Guesty Reportes</t>
  </si>
  <si>
    <t>Guesty: Exporta reporte mensual mostrando # msgs entrada vs # respondidos. Fácil. WhatsApp: Muestreo para validar (no necesita ser 100%). Cálculo: (Respondidos Guesty + Validados WhatsApp) / (Total entrada).</t>
  </si>
  <si>
    <t>Volumen Mensajes - Fin de Mes</t>
  </si>
  <si>
    <t>Guesty: Exporta reporte de mensajes por agente. WhatsApp: Pide a Pedro/Zaby que cuenten o estimen. Suma. Divide entre # turnos. Listo.</t>
  </si>
  <si>
    <t>PASO 4: ANÁLISIS MENSUAL</t>
  </si>
  <si>
    <t>1° de Mes - Cálculo</t>
  </si>
  <si>
    <t>Toma todas las muestras del mes anterior (de la hoja "Registro de Muestreo Aleatorio"). Calcula promedios por métrica por agente. Completa la sección "Resumen de Métricas Mensuales".</t>
  </si>
  <si>
    <t>Comparar vs COPC</t>
  </si>
  <si>
    <t>Cada métrica: ¿Está arriba del target? ✅ Excelente. ¿Está cerca? ⚠️ Atención. ¿Está debajo? 🔴 Requiere acción.</t>
  </si>
  <si>
    <t>Identificar Tendencias</t>
  </si>
  <si>
    <t>Mantén historial mes a mes. ¿Mejorado FRT en junio? ¿Descendió FCR? ¿Por qué? Busca patrones. Nota: Guesty es principal, así que usa esos datos como ancla.</t>
  </si>
  <si>
    <t>Acción Correctiva</t>
  </si>
  <si>
    <t>Si métrica &lt;target: ¿Necesita Zaby entrenamiento? ¿Pedro está abrumado en volumen? ¿Proceso roto en Guesty o WhatsApp? Investiga y ajusta.</t>
  </si>
  <si>
    <t>Compartir con el Equipo</t>
  </si>
  <si>
    <t>Reúnete con Pedro y Zaby. Muestra resultados en lenguaje simple. Celebra logros. Motiva mejora. "Este mes FCR estuvo 75%. Excelente!"</t>
  </si>
  <si>
    <t>⚠️ NOTAS IMPORTANTES</t>
  </si>
  <si>
    <t>✓ Guesty es tu fuente principal. Guesty + WhatsApp muestreo combinados = visibilidad completa.</t>
  </si>
  <si>
    <t>✓ NO necesita ser perfecto. Muestreo &gt; Nada. 2-3 auditorías/mes por agente es suficiente para ver tendencias.</t>
  </si>
  <si>
    <t>✓ Muestreo aleatorio REALISTA: Cuando tengas tiempo disponible, realiza la auditoría. Puede ser martes a las 14:30 o viernes a las 16:00. No importa.</t>
  </si>
  <si>
    <t>✓ Colecta consistente: Si muestreas datos, usa MISMO criterio cada mes para comparabilidad.</t>
  </si>
  <si>
    <t>✓ Integración Playa Desktop: Los datos de escalación/reaperturas ya están ahí. Solo necesitas extraer reportes.</t>
  </si>
  <si>
    <t>✓ Objetivo: Mejorar CSAT y operaciones. No es punición. Es visibilidad + coaching.</t>
  </si>
  <si>
    <t>VACIADO DE EVALUACIONES — PRAIA HOTEL ATC</t>
  </si>
  <si>
    <t>Copia aquí los 8 valores del bloque RESUMEN verde de cada evaluación individual. El cálculo de promedios es automático.</t>
  </si>
  <si>
    <t>⚡ CÓMO USAR: Terminas una evaluación en Evaluaciones_Pedro.xlsx o Evaluaciones_Zaby.xlsx → Copias la fila verde → Pegas aquí como VALORES en la siguiente fila disponible del agente.</t>
  </si>
  <si>
    <t>▶  PEDRO — Registro de Evaluaciones</t>
  </si>
  <si>
    <t>Fecha</t>
  </si>
  <si>
    <t>FRT
(min)</t>
  </si>
  <si>
    <t>ART
(min)</t>
  </si>
  <si>
    <t>Calidad
/4</t>
  </si>
  <si>
    <t>Resultado General</t>
  </si>
  <si>
    <t>FRT
Cumple</t>
  </si>
  <si>
    <t>ART
Cumple</t>
  </si>
  <si>
    <t>Calidad
Estado</t>
  </si>
  <si>
    <t>Mes</t>
  </si>
  <si>
    <t>RESUMEN PEDRO — Promedios Automáticos</t>
  </si>
  <si>
    <t>FRT Promedio Pedro</t>
  </si>
  <si>
    <t>ART Promedio Pedro</t>
  </si>
  <si>
    <t>FCR — % Cumple</t>
  </si>
  <si>
    <t>Calidad Promedio Pedro</t>
  </si>
  <si>
    <t>% Escalaciones Pedro</t>
  </si>
  <si>
    <t>Total Evaluaciones</t>
  </si>
  <si>
    <t>▶  ZABY — Registro de Evaluaciones</t>
  </si>
  <si>
    <t>RESUMEN ZABY — Promedios Automáticos</t>
  </si>
  <si>
    <t>FRT Promedio Zaby</t>
  </si>
  <si>
    <t>ART Promedio Zaby</t>
  </si>
  <si>
    <t>Calidad Promedio Zaby</t>
  </si>
  <si>
    <t>% Escalaciones Zaby</t>
  </si>
  <si>
    <t>COMPARATIVA PEDRO vs ZABY</t>
  </si>
  <si>
    <t>Mejor Agente</t>
  </si>
  <si>
    <t>FRT Promedio (min)</t>
  </si>
  <si>
    <t>ART Promedio (min)</t>
  </si>
  <si>
    <t>FCR % Cumple</t>
  </si>
  <si>
    <t>Calidad Promedio /4</t>
  </si>
  <si>
    <t>≥ 3.5</t>
  </si>
  <si>
    <t>% Escalaciones</t>
  </si>
  <si>
    <t>ESTÁNDARES COPC - DEFINICIONES Y BENCHMARKS</t>
  </si>
  <si>
    <t>Estándar COPC y Definición</t>
  </si>
  <si>
    <t>Cómo Calcular</t>
  </si>
  <si>
    <t>FRT
(Tiempo de
Primera
Respuesta)</t>
  </si>
  <si>
    <t>COPC: &lt; 5 minutos es el estándar para hotelería. Es el tiempo desde que el huésped inicia contacto hasta que el agente envía su primer mensaje. Impacta DIRECTAMENTE en la percepción inicial del huésped. Los huéspedes esperan respuesta inmediata.</t>
  </si>
  <si>
    <t>1. Abrir conversación en Guesty o WhatsApp
2. Anotar timestamp de primer mensaje del huésped
3. Anotar timestamp de primera respuesta del agente
4. Calcular diferencia en minutos
5. Promediar en muestra aleatoria (2-3/agente/mes)
6. Reportar por agente
Ejemplo: Msg 14:30 → Resp 14:33 = 3 min FRT</t>
  </si>
  <si>
    <t>ART
(Tiempo Promedio
de Respuesta)</t>
  </si>
  <si>
    <t>COPC: &lt; 10 minutos recomendado. Promedio de tiempo entre todos los mensajes en una conversación. Asegura engagement consistente. Correlaciona fuertemente con satisfacción del cliente. Menor ART = mejor experiencia.</t>
  </si>
  <si>
    <t>1. Guesty: Revisar detalles de conversación, anotar timestamps
2. WhatsApp: Revisar logs, anotar timestamps de cada respuesta
3. Calcular lapso entre CADA respuesta del agente
4. Sumar todos los lapsos
5. Dividir entre # de respuestas del agente
6. Reportar por agente
Ejemplo: 3 respuestas, intervalos 8/9/7 min = ART 8 min</t>
  </si>
  <si>
    <t>FCR
(Resolución
en Primer
Contacto)</t>
  </si>
  <si>
    <t>COPC Research: 90% satisfacción si se resuelve en primer contacto. Cae a 55% con 3+ contactos. Estándar industria: 70-85%. Mide competencia del agente y eficiencia de procesos. Cada FCR exitosa ahorra tiempo y costo.</t>
  </si>
  <si>
    <t>1. Semanalmente: Auditar 5-10 casos CERRADOS de Guesty o WhatsApp
2. Revisar si el huésped obtuvo solución sin escalación
3. Verificar: ¿Huésped REABRIÓ caso en próximas 24h?
4. Si NO reabrió = FCR exitoso
5. Si SÍ reabrió = FCR fallido
6. Cálculo: (Casos resueltos 1er contacto / Total casos auditados) x 100
Definir "resuelto" = sin escalación + sin reapertura 24h</t>
  </si>
  <si>
    <t>Tasa de Respuesta</t>
  </si>
  <si>
    <t>COPC: 95%+ es el benchmark. Porcentaje de mensajes de huéspedes que reciben ALGUNA respuesta. Muestra cobertura operativa y compromiso. 100% es la meta: ningún huésped debe sentirse ignorado.</t>
  </si>
  <si>
    <t>1. Guesty: Exportar reporte de mensajes del período
2. Contar: Total mensajes entrada de huéspedes
3. WhatsApp: Muestreo manual de conversaciones
4. Contar mensajes respondidos (Guesty + WhatsApp)
5. Cálculo: (Mensajes respondidos / Total entrada) x 100
Ejemplo: Guesty 40 in + WhatsApp 10 in = 50 total. 48 respondidos = 96%</t>
  </si>
  <si>
    <t>Tasa de
Escalación</t>
  </si>
  <si>
    <t>COPC Benchmark: ≤ 10% es aceptable. La data muestra que 85% de escalaciones PODÍAN haberse resuelto inicialmente. Alta escalación = brechas de entrenamiento o procedimientos poco claros. Meta: Empoderar agentes a resolver independientemente.</t>
  </si>
  <si>
    <t>1. Playa Desktop: Exportar casos reabiertos (= proxy de escalación)
2. Contar reaperturas por período
3. Manual: Agregar escalaciones directas a Mauricio o a ti
4. Contar total de interacciones/casos del período
5. Cálculo: (Total escalaciones / Total casos) x 100
Ejemplo: 100 casos, 7 reaperturas + 1 escalada = 8% (Excelente)</t>
  </si>
  <si>
    <t>Volumen de
Mensajes
por Agente</t>
  </si>
  <si>
    <t>COPC Guideline: 30-50 mensajes por turno 8h es típico para hotelería. Muy bajo = subutilización. Muy alto = riesgo burnout. Monitorear impacto en calidad. Balance de carga evita fatiga y errores.</t>
  </si>
  <si>
    <t>1. Fin de mes: Exportar reporte Guesty de mensajes por agente
2. WhatsApp: Contar manual de mensajes por agente (o pedir a agentes)
3. Sumar: Guesty + WhatsApp por agente
4. Dividir entre # de turnos trabajados (8h cada turno)
5. Calcular promedio
6. Comparar Pedro vs Zaby
Ejemplo: Pedro 45 msg/turno, Zaby 35 msg/turno = Zaby ligeramente bajo</t>
  </si>
  <si>
    <t>METODOLOGÍA DE MUESTREO ALEATORIO - GUESTY + WHATSAPP</t>
  </si>
  <si>
    <t>Guesty - Flujo de Datos</t>
  </si>
  <si>
    <t>Guesty es tu plataforma principal de mensajería de huéspedes. Exporta reportes de conversaciones, timestamps, agentes. Ventaja: timestamps automáticos. Puedes revisar histórico fácilmente. Usa reportes de Guesty como fuente primaria para FRT/ART/FCR/Tasa Respuesta.</t>
  </si>
  <si>
    <t>WhatsApp - Muestreo Manual</t>
  </si>
  <si>
    <t>WhatsApp requiere conteo manual porque no hay integración automática. Cuando hagas muestreo: Abre conversaciones en WhatsApp Business, anota timestamps manualmente, cuenta mensajes. Mínimo 2-3 conversaciones por agente/mes. Registra en hoja de muestreo.</t>
  </si>
  <si>
    <t>¿Por qué Muestreo?</t>
  </si>
  <si>
    <t>Sin departamento de calidad, el muestreo aleatorio es REALISTA. Guesty + WhatsApp pueden ser muchos datos. Muestreo representativo (2-3/agente/mes) es suficiente para ver tendencias y actuar. No necesitas 100% de datos.</t>
  </si>
  <si>
    <t>FRT/ART - Guesty + WhatsApp Muestra</t>
  </si>
  <si>
    <t>Guesty: Abre 2-3 conversaciones cerradas, revisa timestamps. WhatsApp: Abre 2-3 chats, anota timestamps. Calcula FRT y ART. Registra en hoja "Registro de Muestreo Aleatorio". Cuando acumules 3-4 muestras por agente/mes = promedio representativo.</t>
  </si>
  <si>
    <t>FCR - Auditoría Semanal</t>
  </si>
  <si>
    <t>Semanalmente cuando tengas tiempo: Audita 5 casos cerrados (Guesty + WhatsApp combinados). ¿Reabrió en 24h? SÍ = falló, NO = éxito. Registra % de éxito esa semana. Mensual: promedia las semanas.</t>
  </si>
  <si>
    <t>Tasa Respuesta - Guesty Primary</t>
  </si>
  <si>
    <t>Guesty muestra fácilmente: # de mensajes entrada vs # respondidos. Puedes sacar reporte mensual. WhatsApp: Muestreo para validar (no es 100%). Guesty probablemente sea 80-90% de tu volumen. Tasa Respuesta = (Guesty respondidos + WhatsApp muestreo) / (Guesty entrada + WhatsApp muestreo).</t>
  </si>
  <si>
    <t>Escalación - Playa Desktop + Manual</t>
  </si>
  <si>
    <t>Playa Desktop automáticamente captura reaperturas. Exporta ese reporte mensual. Manual: Agrega escalaciones directas que reportes tú o los agentes. Suma ambas fuentes. Meta ≤10%.</t>
  </si>
  <si>
    <t>Guesty: Reporte mensual de mensajes por agente (usualmente disponible). WhatsApp: Pide a Pedro y Zaby que cuenten o estimen. O tú cuentas manualmente. Suma ambos. Divide entre # turnos. Compara balance Pedro vs Zaby.</t>
  </si>
  <si>
    <t>Ciclo Mensual</t>
  </si>
  <si>
    <t>1° de mes: Compila todas las muestras del mes anterior. Calcula promedios. Completa "Resumen de Métricas Mensuales". Compara vs COPC. ¿Arriba/dentro/debajo? Identifica tendencias. Acciones correctivas si es necesario. Comunica al equipo.</t>
  </si>
  <si>
    <t>CSAT CONSOLIDADO - PRAIA HOTEL</t>
  </si>
  <si>
    <t>Todas las escalas normalizadas a 100 · Basado en estándares COPC · Revisión mensual</t>
  </si>
  <si>
    <t>REFERENCIA DE ESCALAS POR PLATAFORMA</t>
  </si>
  <si>
    <t>Plataforma</t>
  </si>
  <si>
    <t>Escala Original</t>
  </si>
  <si>
    <t>Mínimo</t>
  </si>
  <si>
    <t>Máximo</t>
  </si>
  <si>
    <t>Fórmula Normalización</t>
  </si>
  <si>
    <t>Umbral Excelente</t>
  </si>
  <si>
    <t>Umbral Aceptable</t>
  </si>
  <si>
    <t>Equivalente 85/100</t>
  </si>
  <si>
    <t>Equivalente 75/100</t>
  </si>
  <si>
    <t>Airbnb</t>
  </si>
  <si>
    <t>1-5 estrellas</t>
  </si>
  <si>
    <t>(Score/5)×100</t>
  </si>
  <si>
    <t>≥ 4.25</t>
  </si>
  <si>
    <t>≥ 3.75</t>
  </si>
  <si>
    <t>4.25</t>
  </si>
  <si>
    <t>3.75</t>
  </si>
  <si>
    <t>Booking.com</t>
  </si>
  <si>
    <t>1-10 puntos</t>
  </si>
  <si>
    <t>(Score/10)×100</t>
  </si>
  <si>
    <t>≥ 8.5</t>
  </si>
  <si>
    <t>≥ 7.5</t>
  </si>
  <si>
    <t>8.5</t>
  </si>
  <si>
    <t>7.5</t>
  </si>
  <si>
    <t>Expedia</t>
  </si>
  <si>
    <t>Hotels.com</t>
  </si>
  <si>
    <t>Hotelbeds</t>
  </si>
  <si>
    <t>Trip.com</t>
  </si>
  <si>
    <t>📌 COPC Standard: CSAT ≥ 85/100 = Excelente | 75-84/100 = Aceptable | &lt; 75/100 = Requiere Acción Inmediata</t>
  </si>
  <si>
    <t>REGISTRO MENSUAL DE SCORES POR PLATAFORMA</t>
  </si>
  <si>
    <t>Instrucciones: Cada 1° de mes, consulta cada plataforma y anota el score del mes anterior. Las columnas verdes se calculan automáticamente.</t>
  </si>
  <si>
    <t>Mes / Año</t>
  </si>
  <si>
    <t>Airbnb
(1-5)</t>
  </si>
  <si>
    <t>Booking
(1-10)</t>
  </si>
  <si>
    <t>Expedia
(1-5)</t>
  </si>
  <si>
    <t>Hotels.com
(1-5)</t>
  </si>
  <si>
    <t>Hotelbeds
(1-10)</t>
  </si>
  <si>
    <t>Trip.com
(1-5)</t>
  </si>
  <si>
    <t>CSAT
Consolidado
/100</t>
  </si>
  <si>
    <t>÷5×100</t>
  </si>
  <si>
    <t>÷10×100</t>
  </si>
  <si>
    <t>AUTO</t>
  </si>
  <si>
    <t>Enero 2026</t>
  </si>
  <si>
    <t>Febrero 2026</t>
  </si>
  <si>
    <t>Marzo 2026</t>
  </si>
  <si>
    <t>Abril 2026</t>
  </si>
  <si>
    <t>Mayo 2026</t>
  </si>
  <si>
    <t>Junio 2026</t>
  </si>
  <si>
    <t>Julio 2026</t>
  </si>
  <si>
    <t>Agosto 2026</t>
  </si>
  <si>
    <t>Septiembre 2026</t>
  </si>
  <si>
    <t>Octubre 2026</t>
  </si>
  <si>
    <t>Noviembre 2026</t>
  </si>
  <si>
    <t>Diciembre 2026</t>
  </si>
  <si>
    <t>RESUMEN ANUAL Y MEJOR/PEOR PLATAFORMA</t>
  </si>
  <si>
    <t>CSAT Promedio Anual PRAIA</t>
  </si>
  <si>
    <t>Mejor Mes del Año</t>
  </si>
  <si>
    <t>Peor Mes del Año</t>
  </si>
  <si>
    <t>Score Máximo Alcanzado</t>
  </si>
  <si>
    <t>Score Mínimo Alcanzado</t>
  </si>
  <si>
    <t>Meses en Rango Excelente (≥85)</t>
  </si>
  <si>
    <t>Meses Requiriendo Acción (&lt;75)</t>
  </si>
  <si>
    <t>CORRELACIÓN CSAT vs KPIs OPERACIONALES - PRAIA HOTEL</t>
  </si>
  <si>
    <t>¿Cuando mejora FRT/ART/FCR, sube el CSAT? Esta tabla lo revela mes a mes.</t>
  </si>
  <si>
    <t>TABLA DE CORRELACIÓN MENSUAL</t>
  </si>
  <si>
    <t>Llena mensualmente. Los datos vienen de: Hoja 'Control KPI ATC' (FRT/ART/FCR/Escalación) + Hoja 'CSAT Consolidado' (CSAT). Las columnas de Tendencia se calculan automáticamente.</t>
  </si>
  <si>
    <t>FRT
Promedio
(min)</t>
  </si>
  <si>
    <t>ART
Promedio
(min)</t>
  </si>
  <si>
    <t>FCR
(%)</t>
  </si>
  <si>
    <t>Tasa
Escalación
(%)</t>
  </si>
  <si>
    <t>CSAT
Consolidado
(/100)</t>
  </si>
  <si>
    <t>Tendencia
CSAT</t>
  </si>
  <si>
    <t>Observación</t>
  </si>
  <si>
    <t>TARGET COPC →</t>
  </si>
  <si>
    <t>≥ 85/100</t>
  </si>
  <si>
    <t>—</t>
  </si>
  <si>
    <t>ANÁLISIS DE CORRELACIÓN AUTOMÁTICO</t>
  </si>
  <si>
    <t>¿Qué pasó en los meses donde el CSAT bajó? ¿Coincidió con FRT o escalación altos? Llena 'Observación' mensualmente para construir tu análisis cualitativo.</t>
  </si>
  <si>
    <t>FRT Promedio Anual</t>
  </si>
  <si>
    <t>ART Promedio Anual</t>
  </si>
  <si>
    <t>FCR Promedio Anual</t>
  </si>
  <si>
    <t>Escalación Promedio Anual</t>
  </si>
  <si>
    <t>CSAT Promedio Anual</t>
  </si>
  <si>
    <t>Meses CSAT Subiendo ⬆️</t>
  </si>
  <si>
    <t>Meses CSAT Bajando ⬇️</t>
  </si>
  <si>
    <t>GUÍA DE INTERPRETACIÓN Y ACCIÓN</t>
  </si>
  <si>
    <t>CSAT ≥ 85 + FRT &lt; 5</t>
  </si>
  <si>
    <t>✅ Correlación positiva confirmada. FRT rápido = huéspedes satisfechos. Mantener.</t>
  </si>
  <si>
    <t>CSAT baja + FRT sube</t>
  </si>
  <si>
    <t>🔴 Señal directa: lentitud en respuesta impacta CSAT. Revisar carga de agentes.</t>
  </si>
  <si>
    <t>CSAT baja + FCR baja</t>
  </si>
  <si>
    <t>🔴 Huéspedes necesitan múltiples contactos. Entrenamiento en resolución.</t>
  </si>
  <si>
    <t>CSAT baja + Escalación alta</t>
  </si>
  <si>
    <t>🔴 Agentes no empoderados para resolver. Revisar políticas y autoridad.</t>
  </si>
  <si>
    <t>CSAT alto + KPIs bajos</t>
  </si>
  <si>
    <t>⚠️ Verificar calidad de muestreo. Puede indicar factores externos (limpieza, amenities).</t>
  </si>
  <si>
    <t>CSAT estable + mejoras KPIs</t>
  </si>
  <si>
    <t>✅ Mejoras operativas aún no reflejadas. Esperar 1-2 meses para ver impacto.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</si>
</sst>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0">
    <font>
      <sz val="11.0"/>
      <color theme="1"/>
      <name val="Calibri"/>
      <scheme val="minor"/>
    </font>
    <font>
      <b/>
      <sz val="14.0"/>
      <color rgb="FF1F4E78"/>
      <name val="Arial"/>
    </font>
    <font>
      <sz val="11.0"/>
      <color theme="1"/>
      <name val="Calibri"/>
    </font>
    <font>
      <i/>
      <sz val="10.0"/>
      <color theme="1"/>
      <name val="Arial"/>
    </font>
    <font>
      <i/>
      <sz val="9.0"/>
      <color rgb="FF666666"/>
      <name val="Arial"/>
    </font>
    <font>
      <i/>
      <sz val="9.0"/>
      <color rgb="FFC65911"/>
      <name val="Arial"/>
    </font>
    <font/>
    <font>
      <b/>
      <sz val="11.0"/>
      <color rgb="FFFFFFFF"/>
      <name val="Arial"/>
    </font>
    <font>
      <b/>
      <sz val="10.0"/>
      <color rgb="FF000000"/>
      <name val="Arial"/>
    </font>
    <font>
      <i/>
      <sz val="9.0"/>
      <color theme="1"/>
      <name val="Arial"/>
    </font>
    <font>
      <b/>
      <sz val="10.0"/>
      <color theme="1"/>
      <name val="Arial"/>
    </font>
    <font>
      <sz val="9.0"/>
      <color theme="1"/>
      <name val="Arial"/>
    </font>
    <font>
      <sz val="10.0"/>
      <color rgb="FF000000"/>
      <name val="Arial"/>
    </font>
    <font>
      <sz val="9.0"/>
      <color rgb="FFC00000"/>
      <name val="Arial"/>
    </font>
    <font>
      <b/>
      <sz val="12.0"/>
      <color rgb="FFFFFFFF"/>
      <name val="Arial"/>
    </font>
    <font>
      <i/>
      <sz val="9.0"/>
      <color rgb="FF444444"/>
      <name val="Arial"/>
    </font>
    <font>
      <b/>
      <sz val="9.0"/>
      <color rgb="FFFFFFFF"/>
      <name val="Arial"/>
    </font>
    <font>
      <b/>
      <sz val="9.0"/>
      <color theme="1"/>
      <name val="Arial"/>
    </font>
    <font>
      <b/>
      <sz val="13.0"/>
      <color rgb="FFFFFFFF"/>
      <name val="Arial"/>
    </font>
    <font>
      <i/>
      <sz val="10.0"/>
      <color rgb="FF666666"/>
      <name val="Arial"/>
    </font>
    <font>
      <b/>
      <sz val="9.0"/>
      <color rgb="FF1F4E78"/>
      <name val="Arial"/>
    </font>
    <font>
      <b/>
      <sz val="11.0"/>
      <color rgb="FFC00000"/>
      <name val="Arial"/>
    </font>
    <font>
      <b/>
      <sz val="14.0"/>
      <color rgb="FFFFFFFF"/>
      <name val="Arial"/>
    </font>
    <font>
      <b/>
      <sz val="9.0"/>
      <color rgb="FFC65911"/>
      <name val="Arial"/>
    </font>
    <font>
      <b/>
      <sz val="10.0"/>
      <color rgb="FFFFFFFF"/>
      <name val="Arial"/>
    </font>
    <font>
      <b/>
      <sz val="9.0"/>
      <color rgb="FF008000"/>
      <name val="Arial"/>
    </font>
    <font>
      <b/>
      <sz val="9.0"/>
      <color rgb="FF1F578B"/>
      <name val="Arial"/>
    </font>
    <font>
      <b/>
      <sz val="9.0"/>
      <color rgb="FF375623"/>
      <name val="Arial"/>
    </font>
    <font>
      <i/>
      <sz val="8.0"/>
      <color rgb="FF666666"/>
      <name val="Arial"/>
    </font>
    <font>
      <b/>
      <sz val="10.0"/>
      <color rgb="FF008000"/>
      <name val="Arial"/>
    </font>
  </fonts>
  <fills count="16">
    <fill>
      <patternFill patternType="none"/>
    </fill>
    <fill>
      <patternFill patternType="lightGray"/>
    </fill>
    <fill>
      <patternFill patternType="solid">
        <fgColor rgb="FFFCE4D6"/>
        <bgColor rgb="FFFCE4D6"/>
      </patternFill>
    </fill>
    <fill>
      <patternFill patternType="solid">
        <fgColor rgb="FF1F4E78"/>
        <bgColor rgb="FF1F4E78"/>
      </patternFill>
    </fill>
    <fill>
      <patternFill patternType="solid">
        <fgColor rgb="FFD9E1F2"/>
        <bgColor rgb="FFD9E1F2"/>
      </patternFill>
    </fill>
    <fill>
      <patternFill patternType="solid">
        <fgColor rgb="FFE7E6E6"/>
        <bgColor rgb="FFE7E6E6"/>
      </patternFill>
    </fill>
    <fill>
      <patternFill patternType="solid">
        <fgColor rgb="FFFFF2CC"/>
        <bgColor rgb="FFFFF2CC"/>
      </patternFill>
    </fill>
    <fill>
      <patternFill patternType="solid">
        <fgColor rgb="FF203864"/>
        <bgColor rgb="FF203864"/>
      </patternFill>
    </fill>
    <fill>
      <patternFill patternType="solid">
        <fgColor rgb="FF4472C4"/>
        <bgColor rgb="FF4472C4"/>
      </patternFill>
    </fill>
    <fill>
      <patternFill patternType="solid">
        <fgColor rgb="FF1F578B"/>
        <bgColor rgb="FF1F578B"/>
      </patternFill>
    </fill>
    <fill>
      <patternFill patternType="solid">
        <fgColor rgb="FFE2EFDA"/>
        <bgColor rgb="FFE2EFDA"/>
      </patternFill>
    </fill>
    <fill>
      <patternFill patternType="solid">
        <fgColor rgb="FFFFF9E6"/>
        <bgColor rgb="FFFFF9E6"/>
      </patternFill>
    </fill>
    <fill>
      <patternFill patternType="solid">
        <fgColor rgb="FF375623"/>
        <bgColor rgb="FF375623"/>
      </patternFill>
    </fill>
    <fill>
      <patternFill patternType="solid">
        <fgColor rgb="FFF0FFF4"/>
        <bgColor rgb="FFF0FFF4"/>
      </patternFill>
    </fill>
    <fill>
      <patternFill patternType="solid">
        <fgColor rgb="FFE8F5E8"/>
        <bgColor rgb="FFE8F5E8"/>
      </patternFill>
    </fill>
    <fill>
      <patternFill patternType="solid">
        <fgColor rgb="FFDDEBF7"/>
        <bgColor rgb="FFDDEBF7"/>
      </patternFill>
    </fill>
  </fills>
  <borders count="9">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shrinkToFit="0" vertical="bottom" wrapText="0"/>
    </xf>
    <xf borderId="2" fillId="0" fontId="6" numFmtId="0" xfId="0" applyBorder="1" applyFont="1"/>
    <xf borderId="3" fillId="0" fontId="6" numFmtId="0" xfId="0" applyBorder="1" applyFont="1"/>
    <xf borderId="4" fillId="3" fontId="7" numFmtId="0" xfId="0" applyAlignment="1" applyBorder="1" applyFill="1" applyFont="1">
      <alignment horizontal="center" shrinkToFit="0" vertical="center" wrapText="1"/>
    </xf>
    <xf borderId="5" fillId="4" fontId="8" numFmtId="0" xfId="0" applyAlignment="1" applyBorder="1" applyFill="1" applyFont="1">
      <alignment horizontal="left" shrinkToFit="0" vertical="top" wrapText="1"/>
    </xf>
    <xf borderId="6" fillId="0" fontId="6" numFmtId="0" xfId="0" applyBorder="1" applyFont="1"/>
    <xf borderId="7" fillId="0" fontId="6" numFmtId="0" xfId="0" applyBorder="1" applyFont="1"/>
    <xf borderId="5" fillId="0" fontId="9" numFmtId="0" xfId="0" applyAlignment="1" applyBorder="1" applyFont="1">
      <alignment horizontal="left" shrinkToFit="0" vertical="top" wrapText="1"/>
    </xf>
    <xf borderId="4" fillId="5" fontId="10" numFmtId="0" xfId="0" applyAlignment="1" applyBorder="1" applyFill="1" applyFont="1">
      <alignment horizontal="left" shrinkToFit="0" vertical="top" wrapText="1"/>
    </xf>
    <xf borderId="4" fillId="5" fontId="11" numFmtId="0" xfId="0" applyAlignment="1" applyBorder="1" applyFont="1">
      <alignment horizontal="center" shrinkToFit="0" vertical="center" wrapText="1"/>
    </xf>
    <xf borderId="4" fillId="6" fontId="12" numFmtId="0" xfId="0" applyAlignment="1" applyBorder="1" applyFill="1" applyFont="1">
      <alignment horizontal="left" shrinkToFit="0" vertical="top" wrapText="1"/>
    </xf>
    <xf borderId="4" fillId="5" fontId="11" numFmtId="0" xfId="0" applyAlignment="1" applyBorder="1" applyFont="1">
      <alignment horizontal="left" shrinkToFit="0" vertical="top" wrapText="1"/>
    </xf>
    <xf borderId="5" fillId="0" fontId="13" numFmtId="0" xfId="0" applyAlignment="1" applyBorder="1" applyFont="1">
      <alignment horizontal="left" shrinkToFit="0" vertical="top" wrapText="1"/>
    </xf>
    <xf borderId="1" fillId="7" fontId="14" numFmtId="0" xfId="0" applyAlignment="1" applyBorder="1" applyFill="1" applyFont="1">
      <alignment horizontal="center" shrinkToFit="0" vertical="center" wrapText="1"/>
    </xf>
    <xf borderId="5" fillId="0" fontId="15" numFmtId="0" xfId="0" applyAlignment="1" applyBorder="1" applyFont="1">
      <alignment horizontal="left" shrinkToFit="0" vertical="top" wrapText="1"/>
    </xf>
    <xf borderId="4" fillId="8" fontId="16" numFmtId="0" xfId="0" applyAlignment="1" applyBorder="1" applyFill="1" applyFont="1">
      <alignment horizontal="center" shrinkToFit="0" vertical="center" wrapText="1"/>
    </xf>
    <xf borderId="4" fillId="6" fontId="2" numFmtId="0" xfId="0" applyAlignment="1" applyBorder="1" applyFont="1">
      <alignment horizontal="center" shrinkToFit="0" vertical="center" wrapText="1"/>
    </xf>
    <xf borderId="4" fillId="6" fontId="2" numFmtId="0" xfId="0" applyAlignment="1" applyBorder="1" applyFont="1">
      <alignment horizontal="left" shrinkToFit="0" vertical="top" wrapText="1"/>
    </xf>
    <xf borderId="4" fillId="0" fontId="17"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6" fontId="11" numFmtId="0" xfId="0" applyAlignment="1" applyBorder="1" applyFont="1">
      <alignment horizontal="center" shrinkToFit="0" vertical="center" wrapText="1"/>
    </xf>
    <xf borderId="4" fillId="6" fontId="11" numFmtId="0" xfId="0" applyAlignment="1" applyBorder="1" applyFont="1">
      <alignment horizontal="left" shrinkToFit="0" vertical="top" wrapText="1"/>
    </xf>
    <xf borderId="1" fillId="3" fontId="18" numFmtId="0" xfId="0" applyAlignment="1" applyBorder="1" applyFont="1">
      <alignment horizontal="center" shrinkToFit="0" vertical="center" wrapText="1"/>
    </xf>
    <xf borderId="0" fillId="0" fontId="19" numFmtId="0" xfId="0" applyAlignment="1" applyFont="1">
      <alignment shrinkToFit="0" vertical="bottom" wrapText="0"/>
    </xf>
    <xf borderId="1" fillId="8" fontId="7" numFmtId="0" xfId="0" applyAlignment="1" applyBorder="1" applyFont="1">
      <alignment horizontal="center" shrinkToFit="0" vertical="center" wrapText="1"/>
    </xf>
    <xf borderId="4" fillId="5" fontId="20" numFmtId="0" xfId="0" applyAlignment="1" applyBorder="1" applyFont="1">
      <alignment horizontal="left" shrinkToFit="0" vertical="top" wrapText="1"/>
    </xf>
    <xf borderId="4" fillId="0" fontId="11" numFmtId="0" xfId="0" applyAlignment="1" applyBorder="1" applyFont="1">
      <alignment horizontal="left" shrinkToFit="0" vertical="top" wrapText="1"/>
    </xf>
    <xf borderId="1" fillId="2" fontId="21" numFmtId="0" xfId="0" applyAlignment="1" applyBorder="1" applyFont="1">
      <alignment horizontal="center" shrinkToFit="0" vertical="center" wrapText="1"/>
    </xf>
    <xf borderId="1" fillId="3" fontId="22" numFmtId="0" xfId="0" applyAlignment="1" applyBorder="1" applyFont="1">
      <alignment horizontal="center" shrinkToFit="0" vertical="center" wrapText="0"/>
    </xf>
    <xf borderId="0" fillId="0" fontId="4" numFmtId="0" xfId="0" applyAlignment="1" applyFont="1">
      <alignment horizontal="center" shrinkToFit="0" vertical="center" wrapText="0"/>
    </xf>
    <xf borderId="5" fillId="2" fontId="23" numFmtId="0" xfId="0" applyAlignment="1" applyBorder="1" applyFont="1">
      <alignment horizontal="left" shrinkToFit="0" vertical="center" wrapText="1"/>
    </xf>
    <xf borderId="8" fillId="0" fontId="6" numFmtId="0" xfId="0" applyBorder="1" applyFont="1"/>
    <xf borderId="5" fillId="9" fontId="7" numFmtId="0" xfId="0" applyAlignment="1" applyBorder="1" applyFill="1" applyFont="1">
      <alignment horizontal="left" shrinkToFit="0" vertical="center" wrapText="0"/>
    </xf>
    <xf borderId="4" fillId="7" fontId="16" numFmtId="0" xfId="0" applyAlignment="1" applyBorder="1" applyFont="1">
      <alignment horizontal="center" shrinkToFit="0" vertical="center" wrapText="1"/>
    </xf>
    <xf borderId="4" fillId="10" fontId="10" numFmtId="0" xfId="0" applyAlignment="1" applyBorder="1" applyFill="1" applyFont="1">
      <alignment horizontal="center" shrinkToFit="0" vertical="center" wrapText="0"/>
    </xf>
    <xf borderId="4" fillId="10" fontId="17" numFmtId="0" xfId="0" applyAlignment="1" applyBorder="1" applyFont="1">
      <alignment horizontal="center" shrinkToFit="0" vertical="center" wrapText="0"/>
    </xf>
    <xf borderId="4" fillId="10" fontId="11" numFmtId="0" xfId="0" applyAlignment="1" applyBorder="1" applyFont="1">
      <alignment horizontal="center" shrinkToFit="0" vertical="center" wrapText="0"/>
    </xf>
    <xf borderId="4" fillId="11" fontId="2" numFmtId="0" xfId="0" applyAlignment="1" applyBorder="1" applyFill="1" applyFont="1">
      <alignment horizontal="center" shrinkToFit="0" vertical="center" wrapText="1"/>
    </xf>
    <xf borderId="5" fillId="9" fontId="24" numFmtId="0" xfId="0" applyAlignment="1" applyBorder="1" applyFont="1">
      <alignment shrinkToFit="0" vertical="bottom" wrapText="0"/>
    </xf>
    <xf borderId="4" fillId="4" fontId="17" numFmtId="0" xfId="0" applyAlignment="1" applyBorder="1" applyFont="1">
      <alignment shrinkToFit="0" vertical="bottom" wrapText="0"/>
    </xf>
    <xf borderId="5" fillId="10" fontId="25" numFmtId="164" xfId="0" applyAlignment="1" applyBorder="1" applyFont="1" applyNumberFormat="1">
      <alignment horizontal="center" shrinkToFit="0" vertical="center" wrapText="0"/>
    </xf>
    <xf borderId="5" fillId="12" fontId="7" numFmtId="0" xfId="0" applyAlignment="1" applyBorder="1" applyFill="1" applyFont="1">
      <alignment horizontal="left" shrinkToFit="0" vertical="center" wrapText="0"/>
    </xf>
    <xf borderId="4" fillId="13" fontId="2" numFmtId="0" xfId="0" applyAlignment="1" applyBorder="1" applyFill="1" applyFont="1">
      <alignment horizontal="center" shrinkToFit="0" vertical="center" wrapText="1"/>
    </xf>
    <xf borderId="4" fillId="14" fontId="2" numFmtId="0" xfId="0" applyAlignment="1" applyBorder="1" applyFill="1" applyFont="1">
      <alignment horizontal="center" shrinkToFit="0" vertical="center" wrapText="1"/>
    </xf>
    <xf borderId="5" fillId="12" fontId="24" numFmtId="0" xfId="0" applyAlignment="1" applyBorder="1" applyFont="1">
      <alignment shrinkToFit="0" vertical="bottom" wrapText="0"/>
    </xf>
    <xf borderId="5" fillId="3" fontId="7" numFmtId="0" xfId="0" applyAlignment="1" applyBorder="1" applyFont="1">
      <alignment shrinkToFit="0" vertical="bottom" wrapText="0"/>
    </xf>
    <xf borderId="4" fillId="7" fontId="16" numFmtId="0" xfId="0" applyAlignment="1" applyBorder="1" applyFont="1">
      <alignment horizontal="center" shrinkToFit="0" vertical="center" wrapText="0"/>
    </xf>
    <xf borderId="4" fillId="15" fontId="26" numFmtId="164" xfId="0" applyAlignment="1" applyBorder="1" applyFill="1" applyFont="1" applyNumberFormat="1">
      <alignment horizontal="center" shrinkToFit="0" vertical="center" wrapText="0"/>
    </xf>
    <xf borderId="4" fillId="10" fontId="27" numFmtId="164" xfId="0" applyAlignment="1" applyBorder="1" applyFont="1" applyNumberFormat="1">
      <alignment horizontal="center" shrinkToFit="0" vertical="center" wrapText="0"/>
    </xf>
    <xf borderId="4" fillId="2" fontId="5" numFmtId="0" xfId="0" applyAlignment="1" applyBorder="1" applyFont="1">
      <alignment horizontal="center" shrinkToFit="0" vertical="center" wrapText="0"/>
    </xf>
    <xf borderId="1" fillId="3" fontId="14" numFmtId="0" xfId="0" applyAlignment="1" applyBorder="1" applyFont="1">
      <alignment horizontal="center" shrinkToFit="0" vertical="center" wrapText="1"/>
    </xf>
    <xf borderId="4" fillId="8" fontId="24" numFmtId="0" xfId="0" applyAlignment="1" applyBorder="1" applyFont="1">
      <alignment horizontal="center" shrinkToFit="0" vertical="center" wrapText="1"/>
    </xf>
    <xf borderId="1" fillId="7" fontId="7" numFmtId="0" xfId="0" applyAlignment="1" applyBorder="1" applyFont="1">
      <alignment horizontal="center" shrinkToFit="0" vertical="center" wrapText="1"/>
    </xf>
    <xf borderId="5" fillId="0" fontId="11" numFmtId="0" xfId="0" applyAlignment="1" applyBorder="1" applyFont="1">
      <alignment horizontal="left" shrinkToFit="0" vertical="top" wrapText="1"/>
    </xf>
    <xf borderId="1" fillId="3" fontId="22" numFmtId="0" xfId="0" applyAlignment="1" applyBorder="1" applyFont="1">
      <alignment horizontal="center" shrinkToFit="0" vertical="center" wrapText="1"/>
    </xf>
    <xf borderId="0" fillId="0" fontId="4" numFmtId="0" xfId="0" applyAlignment="1" applyFont="1">
      <alignment horizontal="center" shrinkToFit="0" vertical="center" wrapText="1"/>
    </xf>
    <xf borderId="5" fillId="8" fontId="24" numFmtId="0" xfId="0" applyAlignment="1" applyBorder="1" applyFont="1">
      <alignment horizontal="center" shrinkToFit="0" vertical="center" wrapText="1"/>
    </xf>
    <xf borderId="4" fillId="4" fontId="17" numFmtId="0" xfId="0" applyAlignment="1" applyBorder="1" applyFont="1">
      <alignment horizontal="left" shrinkToFit="0" vertical="center" wrapText="1"/>
    </xf>
    <xf borderId="5" fillId="8" fontId="24" numFmtId="0" xfId="0" applyAlignment="1" applyBorder="1" applyFont="1">
      <alignment horizontal="left" shrinkToFit="0" vertical="center" wrapText="1"/>
    </xf>
    <xf borderId="0" fillId="0" fontId="4" numFmtId="0" xfId="0" applyAlignment="1" applyFont="1">
      <alignment horizontal="left" shrinkToFit="0" vertical="center" wrapText="1"/>
    </xf>
    <xf borderId="4" fillId="4" fontId="28" numFmtId="0" xfId="0" applyAlignment="1" applyBorder="1" applyFont="1">
      <alignment horizontal="center" shrinkToFit="0" vertical="center" wrapText="1"/>
    </xf>
    <xf borderId="4" fillId="10" fontId="28" numFmtId="0" xfId="0" applyAlignment="1" applyBorder="1" applyFont="1">
      <alignment horizontal="center" shrinkToFit="0" vertical="center" wrapText="1"/>
    </xf>
    <xf borderId="4" fillId="6" fontId="2" numFmtId="164" xfId="0" applyAlignment="1" applyBorder="1" applyFont="1" applyNumberFormat="1">
      <alignment horizontal="center" shrinkToFit="0" vertical="center" wrapText="1"/>
    </xf>
    <xf borderId="4" fillId="10" fontId="10" numFmtId="164" xfId="0" applyAlignment="1" applyBorder="1" applyFont="1" applyNumberFormat="1">
      <alignment horizontal="center" shrinkToFit="0" vertical="center" wrapText="1"/>
    </xf>
    <xf borderId="4" fillId="10" fontId="17" numFmtId="0" xfId="0" applyAlignment="1" applyBorder="1" applyFont="1">
      <alignment horizontal="center" shrinkToFit="0" vertical="center" wrapText="1"/>
    </xf>
    <xf borderId="4" fillId="4" fontId="10" numFmtId="0" xfId="0" applyAlignment="1" applyBorder="1" applyFont="1">
      <alignment horizontal="left" shrinkToFit="0" vertical="center" wrapText="1"/>
    </xf>
    <xf borderId="5" fillId="10" fontId="29" numFmtId="164" xfId="0" applyAlignment="1" applyBorder="1" applyFont="1" applyNumberFormat="1">
      <alignment horizontal="center" shrinkToFit="0" vertical="center" wrapText="1"/>
    </xf>
    <xf borderId="4" fillId="2" fontId="5" numFmtId="0" xfId="0" applyAlignment="1" applyBorder="1" applyFont="1">
      <alignment horizontal="center" shrinkToFit="0" vertical="center" wrapText="1"/>
    </xf>
    <xf borderId="4" fillId="6" fontId="2" numFmtId="0" xfId="0" applyAlignment="1" applyBorder="1" applyFont="1">
      <alignment horizontal="left" shrinkToFit="0" vertical="center" wrapText="1"/>
    </xf>
    <xf borderId="4" fillId="4" fontId="20" numFmtId="0" xfId="0" applyAlignment="1" applyBorder="1" applyFont="1">
      <alignment horizontal="left" shrinkToFit="0" vertical="center" wrapText="1"/>
    </xf>
    <xf borderId="5" fillId="0" fontId="1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6.0"/>
    <col customWidth="1" min="3" max="3" width="18.0"/>
    <col customWidth="1" min="4" max="4" width="14.0"/>
    <col customWidth="1" min="5" max="5" width="10.0"/>
    <col customWidth="1" min="6" max="6" width="14.0"/>
    <col customWidth="1" min="7" max="7" width="20.0"/>
    <col customWidth="1" min="8" max="26" width="8.71"/>
  </cols>
  <sheetData>
    <row r="1" ht="17.25" customHeight="1">
      <c r="A1" s="1" t="s">
        <v>0</v>
      </c>
      <c r="F1" s="2"/>
      <c r="G1" s="2"/>
    </row>
    <row r="2" ht="15.0" customHeight="1">
      <c r="A2" s="3" t="s">
        <v>1</v>
      </c>
      <c r="F2" s="2"/>
      <c r="G2" s="2"/>
    </row>
    <row r="3" ht="15.0" customHeight="1">
      <c r="A3" s="4" t="s">
        <v>2</v>
      </c>
      <c r="F3" s="2"/>
      <c r="G3" s="2"/>
    </row>
    <row r="4" ht="15.0" customHeight="1">
      <c r="A4" s="5" t="s">
        <v>3</v>
      </c>
      <c r="B4" s="6"/>
      <c r="C4" s="6"/>
      <c r="D4" s="6"/>
      <c r="E4" s="7"/>
      <c r="F4" s="2"/>
      <c r="G4" s="2"/>
    </row>
    <row r="5" ht="4.5" customHeight="1">
      <c r="A5" s="2"/>
      <c r="B5" s="2"/>
      <c r="C5" s="2"/>
      <c r="D5" s="2"/>
      <c r="E5" s="2"/>
      <c r="F5" s="2"/>
      <c r="G5" s="2"/>
    </row>
    <row r="6" ht="24.75" customHeight="1">
      <c r="A6" s="8" t="s">
        <v>4</v>
      </c>
      <c r="B6" s="8" t="s">
        <v>5</v>
      </c>
      <c r="C6" s="8" t="s">
        <v>6</v>
      </c>
      <c r="D6" s="8" t="s">
        <v>7</v>
      </c>
      <c r="E6" s="8" t="s">
        <v>8</v>
      </c>
      <c r="F6" s="2"/>
      <c r="G6" s="2"/>
    </row>
    <row r="7" ht="18.0" customHeight="1">
      <c r="A7" s="9" t="s">
        <v>9</v>
      </c>
      <c r="B7" s="10"/>
      <c r="C7" s="10"/>
      <c r="D7" s="10"/>
      <c r="E7" s="11"/>
      <c r="F7" s="2"/>
      <c r="G7" s="2"/>
    </row>
    <row r="8" ht="21.75" customHeight="1">
      <c r="A8" s="12" t="s">
        <v>10</v>
      </c>
      <c r="B8" s="10"/>
      <c r="C8" s="10"/>
      <c r="D8" s="10"/>
      <c r="E8" s="11"/>
      <c r="F8" s="2"/>
      <c r="G8" s="2"/>
    </row>
    <row r="9" ht="15.75" customHeight="1">
      <c r="A9" s="13" t="s">
        <v>11</v>
      </c>
      <c r="B9" s="14" t="s">
        <v>12</v>
      </c>
      <c r="C9" s="14" t="s">
        <v>13</v>
      </c>
      <c r="D9" s="15"/>
      <c r="E9" s="16" t="s">
        <v>14</v>
      </c>
      <c r="F9" s="2"/>
      <c r="G9" s="2"/>
    </row>
    <row r="10" ht="21.75" customHeight="1">
      <c r="A10" s="17" t="s">
        <v>15</v>
      </c>
      <c r="B10" s="10"/>
      <c r="C10" s="10"/>
      <c r="D10" s="10"/>
      <c r="E10" s="11"/>
      <c r="F10" s="2"/>
      <c r="G10" s="2"/>
    </row>
    <row r="11">
      <c r="A11" s="2"/>
      <c r="B11" s="2"/>
      <c r="C11" s="2"/>
      <c r="D11" s="2"/>
      <c r="E11" s="2"/>
      <c r="F11" s="2"/>
      <c r="G11" s="2"/>
    </row>
    <row r="12" ht="18.0" customHeight="1">
      <c r="A12" s="9" t="s">
        <v>16</v>
      </c>
      <c r="B12" s="10"/>
      <c r="C12" s="10"/>
      <c r="D12" s="10"/>
      <c r="E12" s="11"/>
      <c r="F12" s="2"/>
      <c r="G12" s="2"/>
    </row>
    <row r="13" ht="15.0" customHeight="1">
      <c r="A13" s="12" t="s">
        <v>17</v>
      </c>
      <c r="B13" s="10"/>
      <c r="C13" s="10"/>
      <c r="D13" s="10"/>
      <c r="E13" s="11"/>
      <c r="F13" s="2"/>
      <c r="G13" s="2"/>
    </row>
    <row r="14" ht="15.75" customHeight="1">
      <c r="A14" s="13" t="s">
        <v>11</v>
      </c>
      <c r="B14" s="14" t="s">
        <v>12</v>
      </c>
      <c r="C14" s="14" t="s">
        <v>18</v>
      </c>
      <c r="D14" s="15"/>
      <c r="E14" s="16" t="s">
        <v>19</v>
      </c>
      <c r="F14" s="2"/>
      <c r="G14" s="2"/>
    </row>
    <row r="15" ht="15.0" customHeight="1">
      <c r="A15" s="17" t="s">
        <v>20</v>
      </c>
      <c r="B15" s="10"/>
      <c r="C15" s="10"/>
      <c r="D15" s="10"/>
      <c r="E15" s="11"/>
      <c r="F15" s="2"/>
      <c r="G15" s="2"/>
    </row>
    <row r="16">
      <c r="A16" s="2"/>
      <c r="B16" s="2"/>
      <c r="C16" s="2"/>
      <c r="D16" s="2"/>
      <c r="E16" s="2"/>
      <c r="F16" s="2"/>
      <c r="G16" s="2"/>
    </row>
    <row r="17" ht="18.0" customHeight="1">
      <c r="A17" s="9" t="s">
        <v>21</v>
      </c>
      <c r="B17" s="10"/>
      <c r="C17" s="10"/>
      <c r="D17" s="10"/>
      <c r="E17" s="11"/>
      <c r="F17" s="2"/>
      <c r="G17" s="2"/>
    </row>
    <row r="18" ht="15.0" customHeight="1">
      <c r="A18" s="12" t="s">
        <v>22</v>
      </c>
      <c r="B18" s="10"/>
      <c r="C18" s="10"/>
      <c r="D18" s="10"/>
      <c r="E18" s="11"/>
      <c r="F18" s="2"/>
      <c r="G18" s="2"/>
    </row>
    <row r="19" ht="15.75" customHeight="1">
      <c r="A19" s="13" t="s">
        <v>11</v>
      </c>
      <c r="B19" s="14" t="s">
        <v>23</v>
      </c>
      <c r="C19" s="14" t="s">
        <v>24</v>
      </c>
      <c r="D19" s="15"/>
      <c r="E19" s="16" t="s">
        <v>25</v>
      </c>
      <c r="F19" s="2"/>
      <c r="G19" s="2"/>
    </row>
    <row r="20" ht="21.75" customHeight="1">
      <c r="A20" s="17" t="s">
        <v>26</v>
      </c>
      <c r="B20" s="10"/>
      <c r="C20" s="10"/>
      <c r="D20" s="10"/>
      <c r="E20" s="11"/>
      <c r="F20" s="2"/>
      <c r="G20" s="2"/>
    </row>
    <row r="21" ht="15.75" customHeight="1">
      <c r="A21" s="2"/>
      <c r="B21" s="2"/>
      <c r="C21" s="2"/>
      <c r="D21" s="2"/>
      <c r="E21" s="2"/>
      <c r="F21" s="2"/>
      <c r="G21" s="2"/>
    </row>
    <row r="22" ht="18.0" customHeight="1">
      <c r="A22" s="9" t="s">
        <v>27</v>
      </c>
      <c r="B22" s="10"/>
      <c r="C22" s="10"/>
      <c r="D22" s="10"/>
      <c r="E22" s="11"/>
      <c r="F22" s="2"/>
      <c r="G22" s="2"/>
    </row>
    <row r="23" ht="15.0" customHeight="1">
      <c r="A23" s="12" t="s">
        <v>28</v>
      </c>
      <c r="B23" s="10"/>
      <c r="C23" s="10"/>
      <c r="D23" s="10"/>
      <c r="E23" s="11"/>
      <c r="F23" s="2"/>
      <c r="G23" s="2"/>
    </row>
    <row r="24" ht="15.75" customHeight="1">
      <c r="A24" s="13" t="s">
        <v>11</v>
      </c>
      <c r="B24" s="14" t="s">
        <v>23</v>
      </c>
      <c r="C24" s="14" t="s">
        <v>29</v>
      </c>
      <c r="D24" s="15"/>
      <c r="E24" s="16" t="s">
        <v>30</v>
      </c>
      <c r="F24" s="2"/>
      <c r="G24" s="2"/>
    </row>
    <row r="25" ht="15.0" customHeight="1">
      <c r="A25" s="17" t="s">
        <v>31</v>
      </c>
      <c r="B25" s="10"/>
      <c r="C25" s="10"/>
      <c r="D25" s="10"/>
      <c r="E25" s="11"/>
      <c r="F25" s="2"/>
      <c r="G25" s="2"/>
    </row>
    <row r="26" ht="15.75" customHeight="1">
      <c r="A26" s="2"/>
      <c r="B26" s="2"/>
      <c r="C26" s="2"/>
      <c r="D26" s="2"/>
      <c r="E26" s="2"/>
      <c r="F26" s="2"/>
      <c r="G26" s="2"/>
    </row>
    <row r="27" ht="18.0" customHeight="1">
      <c r="A27" s="9" t="s">
        <v>32</v>
      </c>
      <c r="B27" s="10"/>
      <c r="C27" s="10"/>
      <c r="D27" s="10"/>
      <c r="E27" s="11"/>
      <c r="F27" s="2"/>
      <c r="G27" s="2"/>
    </row>
    <row r="28" ht="15.0" customHeight="1">
      <c r="A28" s="12" t="s">
        <v>33</v>
      </c>
      <c r="B28" s="10"/>
      <c r="C28" s="10"/>
      <c r="D28" s="10"/>
      <c r="E28" s="11"/>
      <c r="F28" s="2"/>
      <c r="G28" s="2"/>
    </row>
    <row r="29" ht="15.75" customHeight="1">
      <c r="A29" s="13" t="s">
        <v>11</v>
      </c>
      <c r="B29" s="14" t="s">
        <v>23</v>
      </c>
      <c r="C29" s="14" t="s">
        <v>34</v>
      </c>
      <c r="D29" s="15"/>
      <c r="E29" s="16" t="s">
        <v>35</v>
      </c>
      <c r="F29" s="2"/>
      <c r="G29" s="2"/>
    </row>
    <row r="30" ht="21.75" customHeight="1">
      <c r="A30" s="17" t="s">
        <v>36</v>
      </c>
      <c r="B30" s="10"/>
      <c r="C30" s="10"/>
      <c r="D30" s="10"/>
      <c r="E30" s="11"/>
      <c r="F30" s="2"/>
      <c r="G30" s="2"/>
    </row>
    <row r="31" ht="15.75" customHeight="1">
      <c r="A31" s="2"/>
      <c r="B31" s="2"/>
      <c r="C31" s="2"/>
      <c r="D31" s="2"/>
      <c r="E31" s="2"/>
      <c r="F31" s="2"/>
      <c r="G31" s="2"/>
    </row>
    <row r="32" ht="18.0" customHeight="1">
      <c r="A32" s="9" t="s">
        <v>37</v>
      </c>
      <c r="B32" s="10"/>
      <c r="C32" s="10"/>
      <c r="D32" s="10"/>
      <c r="E32" s="11"/>
      <c r="F32" s="2"/>
      <c r="G32" s="2"/>
    </row>
    <row r="33" ht="15.0" customHeight="1">
      <c r="A33" s="12" t="s">
        <v>38</v>
      </c>
      <c r="B33" s="10"/>
      <c r="C33" s="10"/>
      <c r="D33" s="10"/>
      <c r="E33" s="11"/>
      <c r="F33" s="2"/>
      <c r="G33" s="2"/>
    </row>
    <row r="34" ht="15.75" customHeight="1">
      <c r="A34" s="13" t="s">
        <v>11</v>
      </c>
      <c r="B34" s="14" t="s">
        <v>39</v>
      </c>
      <c r="C34" s="14" t="s">
        <v>40</v>
      </c>
      <c r="D34" s="15"/>
      <c r="E34" s="16" t="s">
        <v>30</v>
      </c>
      <c r="F34" s="2"/>
      <c r="G34" s="2"/>
    </row>
    <row r="35" ht="15.0" customHeight="1">
      <c r="A35" s="17" t="s">
        <v>41</v>
      </c>
      <c r="B35" s="10"/>
      <c r="C35" s="10"/>
      <c r="D35" s="10"/>
      <c r="E35" s="11"/>
      <c r="F35" s="2"/>
      <c r="G35" s="2"/>
    </row>
    <row r="36" ht="15.75" customHeight="1">
      <c r="A36" s="2"/>
      <c r="B36" s="2"/>
      <c r="C36" s="2"/>
      <c r="D36" s="2"/>
      <c r="E36" s="2"/>
      <c r="F36" s="2"/>
      <c r="G36" s="2"/>
    </row>
    <row r="37" ht="15.75" customHeight="1">
      <c r="A37" s="2"/>
      <c r="B37" s="2"/>
      <c r="C37" s="2"/>
      <c r="D37" s="2"/>
      <c r="E37" s="2"/>
      <c r="F37" s="2"/>
      <c r="G37" s="2"/>
    </row>
    <row r="38" ht="21.75" customHeight="1">
      <c r="A38" s="18" t="s">
        <v>42</v>
      </c>
      <c r="B38" s="6"/>
      <c r="C38" s="6"/>
      <c r="D38" s="6"/>
      <c r="E38" s="7"/>
      <c r="F38" s="2"/>
      <c r="G38" s="2"/>
    </row>
    <row r="39" ht="24.0" customHeight="1">
      <c r="A39" s="19" t="s">
        <v>43</v>
      </c>
      <c r="B39" s="10"/>
      <c r="C39" s="10"/>
      <c r="D39" s="10"/>
      <c r="E39" s="11"/>
      <c r="F39" s="2"/>
      <c r="G39" s="2"/>
    </row>
    <row r="40" ht="18.0" customHeight="1">
      <c r="A40" s="20" t="s">
        <v>44</v>
      </c>
      <c r="B40" s="20" t="s">
        <v>45</v>
      </c>
      <c r="C40" s="20" t="s">
        <v>46</v>
      </c>
      <c r="D40" s="20" t="s">
        <v>47</v>
      </c>
      <c r="E40" s="20" t="s">
        <v>5</v>
      </c>
      <c r="F40" s="2"/>
      <c r="G40" s="2"/>
      <c r="H40" s="20" t="s">
        <v>48</v>
      </c>
      <c r="I40" s="20" t="s">
        <v>49</v>
      </c>
    </row>
    <row r="41" ht="15.75" customHeight="1">
      <c r="A41" s="21"/>
      <c r="B41" s="21"/>
      <c r="C41" s="22"/>
      <c r="D41" s="21"/>
      <c r="E41" s="21"/>
      <c r="F41" s="21"/>
      <c r="G41" s="22"/>
    </row>
    <row r="42" ht="15.75" customHeight="1">
      <c r="A42" s="21"/>
      <c r="B42" s="21"/>
      <c r="C42" s="22"/>
      <c r="D42" s="21"/>
      <c r="E42" s="21"/>
      <c r="F42" s="21"/>
      <c r="G42" s="22"/>
    </row>
    <row r="43" ht="15.75" customHeight="1">
      <c r="A43" s="21"/>
      <c r="B43" s="21"/>
      <c r="C43" s="22"/>
      <c r="D43" s="21"/>
      <c r="E43" s="21"/>
      <c r="F43" s="21"/>
      <c r="G43" s="22"/>
    </row>
    <row r="44" ht="15.75" customHeight="1">
      <c r="A44" s="21"/>
      <c r="B44" s="21"/>
      <c r="C44" s="22"/>
      <c r="D44" s="21"/>
      <c r="E44" s="21"/>
      <c r="F44" s="21"/>
      <c r="G44" s="22"/>
    </row>
    <row r="45" ht="15.75" customHeight="1">
      <c r="A45" s="21"/>
      <c r="B45" s="21"/>
      <c r="C45" s="22"/>
      <c r="D45" s="21"/>
      <c r="E45" s="21"/>
      <c r="F45" s="21"/>
      <c r="G45" s="22"/>
    </row>
    <row r="46" ht="15.75" customHeight="1">
      <c r="A46" s="21"/>
      <c r="B46" s="21"/>
      <c r="C46" s="22"/>
      <c r="D46" s="21"/>
      <c r="E46" s="21"/>
      <c r="F46" s="21"/>
      <c r="G46" s="22"/>
    </row>
    <row r="47" ht="15.75" customHeight="1">
      <c r="A47" s="21"/>
      <c r="B47" s="21"/>
      <c r="C47" s="22"/>
      <c r="D47" s="21"/>
      <c r="E47" s="21"/>
      <c r="F47" s="21"/>
      <c r="G47" s="22"/>
    </row>
    <row r="48" ht="15.75" customHeight="1">
      <c r="A48" s="21"/>
      <c r="B48" s="21"/>
      <c r="C48" s="22"/>
      <c r="D48" s="21"/>
      <c r="E48" s="21"/>
      <c r="F48" s="21"/>
      <c r="G48" s="22"/>
    </row>
    <row r="49" ht="15.75" customHeight="1">
      <c r="A49" s="21"/>
      <c r="B49" s="21"/>
      <c r="C49" s="22"/>
      <c r="D49" s="21"/>
      <c r="E49" s="21"/>
      <c r="F49" s="21"/>
      <c r="G49" s="22"/>
    </row>
    <row r="50" ht="15.75" customHeight="1">
      <c r="A50" s="21"/>
      <c r="B50" s="21"/>
      <c r="C50" s="22"/>
      <c r="D50" s="21"/>
      <c r="E50" s="21"/>
      <c r="F50" s="21"/>
      <c r="G50" s="22"/>
    </row>
    <row r="51" ht="15.75" customHeight="1">
      <c r="A51" s="21"/>
      <c r="B51" s="21"/>
      <c r="C51" s="22"/>
      <c r="D51" s="21"/>
      <c r="E51" s="21"/>
      <c r="F51" s="21"/>
      <c r="G51" s="22"/>
    </row>
    <row r="52" ht="15.75" customHeight="1">
      <c r="A52" s="21"/>
      <c r="B52" s="21"/>
      <c r="C52" s="22"/>
      <c r="D52" s="21"/>
      <c r="E52" s="21"/>
      <c r="F52" s="21"/>
      <c r="G52" s="22"/>
    </row>
    <row r="53" ht="15.75" customHeight="1">
      <c r="A53" s="21"/>
      <c r="B53" s="21"/>
      <c r="C53" s="22"/>
      <c r="D53" s="21"/>
      <c r="E53" s="21"/>
      <c r="F53" s="21"/>
      <c r="G53" s="22"/>
    </row>
    <row r="54" ht="15.75" customHeight="1">
      <c r="A54" s="21"/>
      <c r="B54" s="21"/>
      <c r="C54" s="22"/>
      <c r="D54" s="21"/>
      <c r="E54" s="21"/>
      <c r="F54" s="21"/>
      <c r="G54" s="22"/>
    </row>
    <row r="55" ht="15.75" customHeight="1">
      <c r="A55" s="21"/>
      <c r="B55" s="21"/>
      <c r="C55" s="22"/>
      <c r="D55" s="21"/>
      <c r="E55" s="21"/>
      <c r="F55" s="21"/>
      <c r="G55" s="22"/>
    </row>
    <row r="56" ht="15.75" customHeight="1">
      <c r="A56" s="21"/>
      <c r="B56" s="21"/>
      <c r="C56" s="22"/>
      <c r="D56" s="21"/>
      <c r="E56" s="21"/>
      <c r="F56" s="21"/>
      <c r="G56" s="22"/>
    </row>
    <row r="57" ht="15.75" customHeight="1">
      <c r="A57" s="21"/>
      <c r="B57" s="21"/>
      <c r="C57" s="22"/>
      <c r="D57" s="21"/>
      <c r="E57" s="21"/>
      <c r="F57" s="21"/>
      <c r="G57" s="22"/>
    </row>
    <row r="58" ht="15.75" customHeight="1">
      <c r="A58" s="21"/>
      <c r="B58" s="21"/>
      <c r="C58" s="22"/>
      <c r="D58" s="21"/>
      <c r="E58" s="21"/>
      <c r="F58" s="21"/>
      <c r="G58" s="22"/>
    </row>
    <row r="59" ht="15.75" customHeight="1">
      <c r="A59" s="21"/>
      <c r="B59" s="21"/>
      <c r="C59" s="22"/>
      <c r="D59" s="21"/>
      <c r="E59" s="21"/>
      <c r="F59" s="21"/>
      <c r="G59" s="22"/>
    </row>
    <row r="60" ht="15.75" customHeight="1">
      <c r="A60" s="21"/>
      <c r="B60" s="21"/>
      <c r="C60" s="22"/>
      <c r="D60" s="21"/>
      <c r="E60" s="21"/>
      <c r="F60" s="21"/>
      <c r="G60" s="22"/>
    </row>
    <row r="61" ht="15.75" customHeight="1">
      <c r="A61" s="21"/>
      <c r="B61" s="21"/>
      <c r="C61" s="22"/>
      <c r="D61" s="21"/>
      <c r="E61" s="21"/>
      <c r="F61" s="21"/>
      <c r="G61" s="22"/>
    </row>
    <row r="62" ht="15.75" customHeight="1">
      <c r="A62" s="21"/>
      <c r="B62" s="21"/>
      <c r="C62" s="22"/>
      <c r="D62" s="21"/>
      <c r="E62" s="21"/>
      <c r="F62" s="21"/>
      <c r="G62" s="22"/>
    </row>
    <row r="63" ht="15.75" customHeight="1">
      <c r="A63" s="21"/>
      <c r="B63" s="21"/>
      <c r="C63" s="22"/>
      <c r="D63" s="21"/>
      <c r="E63" s="21"/>
      <c r="F63" s="21"/>
      <c r="G63" s="22"/>
    </row>
    <row r="64" ht="15.75" customHeight="1">
      <c r="A64" s="21"/>
      <c r="B64" s="21"/>
      <c r="C64" s="22"/>
      <c r="D64" s="21"/>
      <c r="E64" s="21"/>
      <c r="F64" s="21"/>
      <c r="G64" s="22"/>
    </row>
    <row r="65" ht="15.75" customHeight="1">
      <c r="A65" s="21"/>
      <c r="B65" s="21"/>
      <c r="C65" s="22"/>
      <c r="D65" s="21"/>
      <c r="E65" s="21"/>
      <c r="F65" s="21"/>
      <c r="G65" s="22"/>
    </row>
    <row r="66" ht="15.75" customHeight="1">
      <c r="A66" s="2"/>
      <c r="B66" s="2"/>
      <c r="C66" s="2"/>
      <c r="D66" s="2"/>
      <c r="E66" s="2"/>
      <c r="F66" s="2"/>
      <c r="G66" s="2"/>
    </row>
    <row r="67" ht="15.75" customHeight="1">
      <c r="A67" s="2"/>
      <c r="B67" s="2"/>
      <c r="C67" s="2"/>
      <c r="D67" s="2"/>
      <c r="E67" s="2"/>
      <c r="F67" s="2"/>
      <c r="G67" s="2"/>
    </row>
    <row r="68" ht="19.5" customHeight="1">
      <c r="A68" s="18" t="s">
        <v>50</v>
      </c>
      <c r="B68" s="6"/>
      <c r="C68" s="6"/>
      <c r="D68" s="6"/>
      <c r="E68" s="6"/>
      <c r="F68" s="6"/>
      <c r="G68" s="7"/>
    </row>
    <row r="69" ht="18.0" customHeight="1">
      <c r="A69" s="20" t="s">
        <v>51</v>
      </c>
      <c r="B69" s="20" t="s">
        <v>52</v>
      </c>
      <c r="C69" s="20" t="s">
        <v>53</v>
      </c>
      <c r="D69" s="20" t="s">
        <v>5</v>
      </c>
      <c r="E69" s="20" t="s">
        <v>54</v>
      </c>
      <c r="F69" s="20" t="s">
        <v>55</v>
      </c>
      <c r="G69" s="20" t="s">
        <v>56</v>
      </c>
    </row>
    <row r="70" ht="15.75" customHeight="1">
      <c r="A70" s="23" t="s">
        <v>57</v>
      </c>
      <c r="B70" s="24" t="s">
        <v>58</v>
      </c>
      <c r="C70" s="25"/>
      <c r="D70" s="24" t="s">
        <v>59</v>
      </c>
      <c r="E70" s="24" t="s">
        <v>60</v>
      </c>
      <c r="F70" s="25"/>
      <c r="G70" s="26"/>
    </row>
    <row r="71" ht="15.75" customHeight="1">
      <c r="A71" s="23" t="s">
        <v>57</v>
      </c>
      <c r="B71" s="24" t="s">
        <v>61</v>
      </c>
      <c r="C71" s="25"/>
      <c r="D71" s="24" t="s">
        <v>59</v>
      </c>
      <c r="E71" s="24" t="s">
        <v>60</v>
      </c>
      <c r="F71" s="25"/>
      <c r="G71" s="26"/>
    </row>
    <row r="72" ht="15.75" customHeight="1">
      <c r="A72" s="23" t="s">
        <v>62</v>
      </c>
      <c r="B72" s="24" t="s">
        <v>58</v>
      </c>
      <c r="C72" s="25"/>
      <c r="D72" s="24" t="s">
        <v>59</v>
      </c>
      <c r="E72" s="24" t="s">
        <v>63</v>
      </c>
      <c r="F72" s="25"/>
      <c r="G72" s="26"/>
    </row>
    <row r="73" ht="15.75" customHeight="1">
      <c r="A73" s="23" t="s">
        <v>62</v>
      </c>
      <c r="B73" s="24" t="s">
        <v>61</v>
      </c>
      <c r="C73" s="25"/>
      <c r="D73" s="24" t="s">
        <v>59</v>
      </c>
      <c r="E73" s="24" t="s">
        <v>63</v>
      </c>
      <c r="F73" s="25"/>
      <c r="G73" s="26"/>
    </row>
    <row r="74" ht="15.75" customHeight="1">
      <c r="A74" s="23" t="s">
        <v>64</v>
      </c>
      <c r="B74" s="24" t="s">
        <v>58</v>
      </c>
      <c r="C74" s="25"/>
      <c r="D74" s="24" t="s">
        <v>23</v>
      </c>
      <c r="E74" s="24" t="s">
        <v>24</v>
      </c>
      <c r="F74" s="25"/>
      <c r="G74" s="26"/>
    </row>
    <row r="75" ht="15.75" customHeight="1">
      <c r="A75" s="23" t="s">
        <v>64</v>
      </c>
      <c r="B75" s="24" t="s">
        <v>61</v>
      </c>
      <c r="C75" s="25"/>
      <c r="D75" s="24" t="s">
        <v>23</v>
      </c>
      <c r="E75" s="24" t="s">
        <v>24</v>
      </c>
      <c r="F75" s="25"/>
      <c r="G75" s="26"/>
    </row>
    <row r="76" ht="15.75" customHeight="1">
      <c r="A76" s="23" t="s">
        <v>65</v>
      </c>
      <c r="B76" s="24" t="s">
        <v>58</v>
      </c>
      <c r="C76" s="25"/>
      <c r="D76" s="24" t="s">
        <v>23</v>
      </c>
      <c r="E76" s="24" t="s">
        <v>29</v>
      </c>
      <c r="F76" s="25"/>
      <c r="G76" s="26"/>
    </row>
    <row r="77" ht="15.75" customHeight="1">
      <c r="A77" s="23" t="s">
        <v>65</v>
      </c>
      <c r="B77" s="24" t="s">
        <v>61</v>
      </c>
      <c r="C77" s="25"/>
      <c r="D77" s="24" t="s">
        <v>23</v>
      </c>
      <c r="E77" s="24" t="s">
        <v>29</v>
      </c>
      <c r="F77" s="25"/>
      <c r="G77" s="26"/>
    </row>
    <row r="78" ht="15.75" customHeight="1">
      <c r="A78" s="23" t="s">
        <v>66</v>
      </c>
      <c r="B78" s="24" t="s">
        <v>58</v>
      </c>
      <c r="C78" s="25"/>
      <c r="D78" s="24" t="s">
        <v>23</v>
      </c>
      <c r="E78" s="24" t="s">
        <v>34</v>
      </c>
      <c r="F78" s="25"/>
      <c r="G78" s="26"/>
    </row>
    <row r="79" ht="15.75" customHeight="1">
      <c r="A79" s="23" t="s">
        <v>66</v>
      </c>
      <c r="B79" s="24" t="s">
        <v>61</v>
      </c>
      <c r="C79" s="25"/>
      <c r="D79" s="24" t="s">
        <v>23</v>
      </c>
      <c r="E79" s="24" t="s">
        <v>34</v>
      </c>
      <c r="F79" s="25"/>
      <c r="G79" s="26"/>
    </row>
    <row r="80" ht="15.75" customHeight="1">
      <c r="A80" s="23" t="s">
        <v>67</v>
      </c>
      <c r="B80" s="24" t="s">
        <v>58</v>
      </c>
      <c r="C80" s="25"/>
      <c r="D80" s="24" t="s">
        <v>68</v>
      </c>
      <c r="E80" s="24" t="s">
        <v>69</v>
      </c>
      <c r="F80" s="25"/>
      <c r="G80" s="26"/>
    </row>
    <row r="81" ht="15.75" customHeight="1">
      <c r="A81" s="23" t="s">
        <v>67</v>
      </c>
      <c r="B81" s="24" t="s">
        <v>61</v>
      </c>
      <c r="C81" s="25"/>
      <c r="D81" s="24" t="s">
        <v>68</v>
      </c>
      <c r="E81" s="24" t="s">
        <v>69</v>
      </c>
      <c r="F81" s="25"/>
      <c r="G81" s="26"/>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25">
    <mergeCell ref="A1:E1"/>
    <mergeCell ref="A2:E2"/>
    <mergeCell ref="A3:E3"/>
    <mergeCell ref="A4:E4"/>
    <mergeCell ref="A7:E7"/>
    <mergeCell ref="A8:E8"/>
    <mergeCell ref="A10:E10"/>
    <mergeCell ref="A12:E12"/>
    <mergeCell ref="A13:E13"/>
    <mergeCell ref="A15:E15"/>
    <mergeCell ref="A17:E17"/>
    <mergeCell ref="A18:E18"/>
    <mergeCell ref="A20:E20"/>
    <mergeCell ref="A22:E22"/>
    <mergeCell ref="A35:E35"/>
    <mergeCell ref="A38:E38"/>
    <mergeCell ref="A39:E39"/>
    <mergeCell ref="A68:G68"/>
    <mergeCell ref="A23:E23"/>
    <mergeCell ref="A25:E25"/>
    <mergeCell ref="A27:E27"/>
    <mergeCell ref="A28:E28"/>
    <mergeCell ref="A30:E30"/>
    <mergeCell ref="A32:E32"/>
    <mergeCell ref="A33:E3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70.0"/>
    <col customWidth="1" min="3" max="26" width="8.71"/>
  </cols>
  <sheetData>
    <row r="1" ht="21.75" customHeight="1">
      <c r="A1" s="27" t="s">
        <v>70</v>
      </c>
      <c r="B1" s="7"/>
    </row>
    <row r="2" ht="15.75" customHeight="1">
      <c r="A2" s="28" t="s">
        <v>71</v>
      </c>
    </row>
    <row r="3">
      <c r="A3" s="2"/>
      <c r="B3" s="2"/>
    </row>
    <row r="4" ht="19.5" customHeight="1">
      <c r="A4" s="29" t="s">
        <v>72</v>
      </c>
      <c r="B4" s="7"/>
    </row>
    <row r="5" ht="34.5" customHeight="1">
      <c r="A5" s="30" t="s">
        <v>73</v>
      </c>
      <c r="B5" s="31" t="s">
        <v>74</v>
      </c>
    </row>
    <row r="6" ht="34.5" customHeight="1">
      <c r="A6" s="30" t="s">
        <v>75</v>
      </c>
      <c r="B6" s="31" t="s">
        <v>76</v>
      </c>
    </row>
    <row r="7" ht="34.5" customHeight="1">
      <c r="A7" s="30" t="s">
        <v>77</v>
      </c>
      <c r="B7" s="31" t="s">
        <v>78</v>
      </c>
    </row>
    <row r="8" ht="34.5" customHeight="1">
      <c r="A8" s="30" t="s">
        <v>79</v>
      </c>
      <c r="B8" s="31" t="s">
        <v>80</v>
      </c>
    </row>
    <row r="9" ht="34.5" customHeight="1">
      <c r="A9" s="30" t="s">
        <v>81</v>
      </c>
      <c r="B9" s="31" t="s">
        <v>82</v>
      </c>
    </row>
    <row r="10" ht="19.5" customHeight="1">
      <c r="A10" s="29" t="s">
        <v>83</v>
      </c>
      <c r="B10" s="7"/>
    </row>
    <row r="11" ht="34.5" customHeight="1">
      <c r="A11" s="30" t="s">
        <v>84</v>
      </c>
      <c r="B11" s="31" t="s">
        <v>85</v>
      </c>
    </row>
    <row r="12" ht="34.5" customHeight="1">
      <c r="A12" s="30" t="s">
        <v>86</v>
      </c>
      <c r="B12" s="31" t="s">
        <v>87</v>
      </c>
    </row>
    <row r="13" ht="34.5" customHeight="1">
      <c r="A13" s="30" t="s">
        <v>88</v>
      </c>
      <c r="B13" s="31" t="s">
        <v>89</v>
      </c>
    </row>
    <row r="14" ht="34.5" customHeight="1">
      <c r="A14" s="30" t="s">
        <v>90</v>
      </c>
      <c r="B14" s="31" t="s">
        <v>91</v>
      </c>
    </row>
    <row r="15" ht="19.5" customHeight="1">
      <c r="A15" s="29" t="s">
        <v>92</v>
      </c>
      <c r="B15" s="7"/>
    </row>
    <row r="16" ht="34.5" customHeight="1">
      <c r="A16" s="30" t="s">
        <v>93</v>
      </c>
      <c r="B16" s="31" t="s">
        <v>94</v>
      </c>
    </row>
    <row r="17" ht="34.5" customHeight="1">
      <c r="A17" s="30" t="s">
        <v>95</v>
      </c>
      <c r="B17" s="31" t="s">
        <v>96</v>
      </c>
    </row>
    <row r="18" ht="34.5" customHeight="1">
      <c r="A18" s="30" t="s">
        <v>97</v>
      </c>
      <c r="B18" s="31" t="s">
        <v>98</v>
      </c>
    </row>
    <row r="19" ht="34.5" customHeight="1">
      <c r="A19" s="30" t="s">
        <v>99</v>
      </c>
      <c r="B19" s="31" t="s">
        <v>100</v>
      </c>
    </row>
    <row r="20" ht="34.5" customHeight="1">
      <c r="A20" s="30" t="s">
        <v>101</v>
      </c>
      <c r="B20" s="31" t="s">
        <v>102</v>
      </c>
    </row>
    <row r="21" ht="19.5" customHeight="1">
      <c r="A21" s="29" t="s">
        <v>103</v>
      </c>
      <c r="B21" s="7"/>
    </row>
    <row r="22" ht="34.5" customHeight="1">
      <c r="A22" s="30" t="s">
        <v>104</v>
      </c>
      <c r="B22" s="31" t="s">
        <v>105</v>
      </c>
    </row>
    <row r="23" ht="34.5" customHeight="1">
      <c r="A23" s="30" t="s">
        <v>106</v>
      </c>
      <c r="B23" s="31" t="s">
        <v>107</v>
      </c>
    </row>
    <row r="24" ht="34.5" customHeight="1">
      <c r="A24" s="30" t="s">
        <v>108</v>
      </c>
      <c r="B24" s="31" t="s">
        <v>109</v>
      </c>
    </row>
    <row r="25" ht="34.5" customHeight="1">
      <c r="A25" s="30" t="s">
        <v>110</v>
      </c>
      <c r="B25" s="31" t="s">
        <v>111</v>
      </c>
    </row>
    <row r="26" ht="34.5" customHeight="1">
      <c r="A26" s="30" t="s">
        <v>112</v>
      </c>
      <c r="B26" s="31" t="s">
        <v>113</v>
      </c>
    </row>
    <row r="27" ht="15.75" customHeight="1">
      <c r="A27" s="2"/>
      <c r="B27" s="2"/>
    </row>
    <row r="28" ht="19.5" customHeight="1">
      <c r="A28" s="32" t="s">
        <v>114</v>
      </c>
      <c r="B28" s="7"/>
    </row>
    <row r="29" ht="24.0" customHeight="1">
      <c r="A29" s="19" t="s">
        <v>115</v>
      </c>
      <c r="B29" s="11"/>
    </row>
    <row r="30" ht="24.0" customHeight="1">
      <c r="A30" s="19" t="s">
        <v>116</v>
      </c>
      <c r="B30" s="11"/>
    </row>
    <row r="31" ht="24.0" customHeight="1">
      <c r="A31" s="19" t="s">
        <v>117</v>
      </c>
      <c r="B31" s="11"/>
    </row>
    <row r="32" ht="24.0" customHeight="1">
      <c r="A32" s="19" t="s">
        <v>118</v>
      </c>
      <c r="B32" s="11"/>
    </row>
    <row r="33" ht="24.0" customHeight="1">
      <c r="A33" s="19" t="s">
        <v>119</v>
      </c>
      <c r="B33" s="11"/>
    </row>
    <row r="34" ht="24.0" customHeight="1">
      <c r="A34" s="19" t="s">
        <v>120</v>
      </c>
      <c r="B34" s="11"/>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mergeCells count="13">
    <mergeCell ref="A29:B29"/>
    <mergeCell ref="A30:B30"/>
    <mergeCell ref="A31:B31"/>
    <mergeCell ref="A32:B32"/>
    <mergeCell ref="A33:B33"/>
    <mergeCell ref="A34:B34"/>
    <mergeCell ref="A1:B1"/>
    <mergeCell ref="A2:B2"/>
    <mergeCell ref="A4:B4"/>
    <mergeCell ref="A10:B10"/>
    <mergeCell ref="A15:B15"/>
    <mergeCell ref="A21:B21"/>
    <mergeCell ref="A28:B28"/>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3" width="10.0"/>
    <col customWidth="1" min="4" max="4" width="11.71"/>
    <col customWidth="1" min="5" max="5" width="14.0"/>
    <col customWidth="1" min="6" max="6" width="12.0"/>
    <col customWidth="1" min="7" max="7" width="14.0"/>
    <col customWidth="1" min="8" max="8" width="20.0"/>
    <col customWidth="1" min="9" max="9" width="14.0"/>
    <col customWidth="1" min="10" max="11" width="10.0"/>
    <col customWidth="1" min="12" max="12" width="12.0"/>
    <col customWidth="1" min="13" max="13" width="14.0"/>
    <col customWidth="1" min="14" max="15" width="20.0"/>
    <col customWidth="1" min="16" max="26" width="8.71"/>
  </cols>
  <sheetData>
    <row r="1" ht="27.75" customHeight="1">
      <c r="A1" s="33" t="s">
        <v>121</v>
      </c>
      <c r="B1" s="6"/>
      <c r="C1" s="6"/>
      <c r="D1" s="6"/>
      <c r="E1" s="6"/>
      <c r="F1" s="6"/>
      <c r="G1" s="6"/>
      <c r="H1" s="6"/>
      <c r="I1" s="6"/>
      <c r="J1" s="6"/>
      <c r="K1" s="6"/>
      <c r="L1" s="6"/>
      <c r="M1" s="6"/>
      <c r="N1" s="6"/>
      <c r="O1" s="7"/>
    </row>
    <row r="2" ht="15.75" customHeight="1">
      <c r="A2" s="34" t="s">
        <v>122</v>
      </c>
    </row>
    <row r="3" ht="21.75" customHeight="1">
      <c r="A3" s="35" t="s">
        <v>123</v>
      </c>
      <c r="B3" s="10"/>
      <c r="C3" s="10"/>
      <c r="D3" s="10"/>
      <c r="E3" s="10"/>
      <c r="F3" s="10"/>
      <c r="G3" s="10"/>
      <c r="H3" s="10"/>
      <c r="I3" s="10"/>
      <c r="J3" s="10"/>
      <c r="K3" s="10"/>
      <c r="L3" s="10"/>
      <c r="M3" s="10"/>
      <c r="N3" s="10"/>
      <c r="O3" s="36"/>
    </row>
    <row r="5" ht="21.75" customHeight="1">
      <c r="A5" s="37" t="s">
        <v>124</v>
      </c>
      <c r="B5" s="10"/>
      <c r="C5" s="10"/>
      <c r="D5" s="10"/>
      <c r="E5" s="10"/>
      <c r="F5" s="10"/>
      <c r="G5" s="10"/>
      <c r="H5" s="10"/>
      <c r="I5" s="10"/>
      <c r="J5" s="10"/>
      <c r="K5" s="10"/>
      <c r="L5" s="10"/>
      <c r="M5" s="10"/>
      <c r="N5" s="10"/>
      <c r="O5" s="36"/>
    </row>
    <row r="6" ht="36.0" customHeight="1">
      <c r="A6" s="38" t="s">
        <v>125</v>
      </c>
      <c r="B6" s="38" t="s">
        <v>52</v>
      </c>
      <c r="C6" s="38" t="s">
        <v>126</v>
      </c>
      <c r="D6" s="38" t="s">
        <v>127</v>
      </c>
      <c r="E6" s="38" t="s">
        <v>64</v>
      </c>
      <c r="F6" s="38" t="s">
        <v>128</v>
      </c>
      <c r="G6" s="38" t="s">
        <v>66</v>
      </c>
      <c r="H6" s="38" t="s">
        <v>129</v>
      </c>
      <c r="I6" s="38" t="s">
        <v>130</v>
      </c>
      <c r="J6" s="38" t="s">
        <v>131</v>
      </c>
      <c r="K6" s="38" t="s">
        <v>132</v>
      </c>
      <c r="L6" s="38" t="s">
        <v>133</v>
      </c>
    </row>
    <row r="7" ht="18.0" customHeight="1">
      <c r="A7" s="21"/>
      <c r="B7" s="21"/>
      <c r="C7" s="21"/>
      <c r="D7" s="21"/>
      <c r="E7" s="21"/>
      <c r="F7" s="21"/>
      <c r="G7" s="21"/>
      <c r="H7" s="21"/>
      <c r="I7" s="39" t="str">
        <f t="shared" ref="I7:I26" si="1">IFERROR(IF(C7="","",IF(C7&lt;5,"✅","❌")),"")</f>
        <v/>
      </c>
      <c r="J7" s="39" t="str">
        <f t="shared" ref="J7:J26" si="2">IFERROR(IF(D7="","",IF(D7&lt;10,"✅","❌")),"")</f>
        <v/>
      </c>
      <c r="K7" s="40" t="str">
        <f t="shared" ref="K7:K26" si="3">IFERROR(IF(F7="","",IF(F7&gt;=3.5,"✅ Bueno","⚠️ Revisar")),"")</f>
        <v/>
      </c>
      <c r="L7" s="41" t="str">
        <f t="shared" ref="L7:L26" si="4">IFERROR(IF(A7="","",TEXT(A7,"MMM YYYY")),"")</f>
        <v/>
      </c>
    </row>
    <row r="8" ht="18.0" customHeight="1">
      <c r="A8" s="42"/>
      <c r="B8" s="42"/>
      <c r="C8" s="42"/>
      <c r="D8" s="42"/>
      <c r="E8" s="42"/>
      <c r="F8" s="42"/>
      <c r="G8" s="42"/>
      <c r="H8" s="42"/>
      <c r="I8" s="39" t="str">
        <f t="shared" si="1"/>
        <v/>
      </c>
      <c r="J8" s="39" t="str">
        <f t="shared" si="2"/>
        <v/>
      </c>
      <c r="K8" s="40" t="str">
        <f t="shared" si="3"/>
        <v/>
      </c>
      <c r="L8" s="41" t="str">
        <f t="shared" si="4"/>
        <v/>
      </c>
    </row>
    <row r="9" ht="18.0" customHeight="1">
      <c r="A9" s="21"/>
      <c r="B9" s="21"/>
      <c r="C9" s="21"/>
      <c r="D9" s="21"/>
      <c r="E9" s="21"/>
      <c r="F9" s="21"/>
      <c r="G9" s="21"/>
      <c r="H9" s="21"/>
      <c r="I9" s="39" t="str">
        <f t="shared" si="1"/>
        <v/>
      </c>
      <c r="J9" s="39" t="str">
        <f t="shared" si="2"/>
        <v/>
      </c>
      <c r="K9" s="40" t="str">
        <f t="shared" si="3"/>
        <v/>
      </c>
      <c r="L9" s="41" t="str">
        <f t="shared" si="4"/>
        <v/>
      </c>
    </row>
    <row r="10" ht="18.0" customHeight="1">
      <c r="A10" s="42"/>
      <c r="B10" s="42"/>
      <c r="C10" s="42"/>
      <c r="D10" s="42"/>
      <c r="E10" s="42"/>
      <c r="F10" s="42"/>
      <c r="G10" s="42"/>
      <c r="H10" s="42"/>
      <c r="I10" s="39" t="str">
        <f t="shared" si="1"/>
        <v/>
      </c>
      <c r="J10" s="39" t="str">
        <f t="shared" si="2"/>
        <v/>
      </c>
      <c r="K10" s="40" t="str">
        <f t="shared" si="3"/>
        <v/>
      </c>
      <c r="L10" s="41" t="str">
        <f t="shared" si="4"/>
        <v/>
      </c>
    </row>
    <row r="11" ht="18.0" customHeight="1">
      <c r="A11" s="21"/>
      <c r="B11" s="21"/>
      <c r="C11" s="21"/>
      <c r="D11" s="21"/>
      <c r="E11" s="21"/>
      <c r="F11" s="21"/>
      <c r="G11" s="21"/>
      <c r="H11" s="21"/>
      <c r="I11" s="39" t="str">
        <f t="shared" si="1"/>
        <v/>
      </c>
      <c r="J11" s="39" t="str">
        <f t="shared" si="2"/>
        <v/>
      </c>
      <c r="K11" s="40" t="str">
        <f t="shared" si="3"/>
        <v/>
      </c>
      <c r="L11" s="41" t="str">
        <f t="shared" si="4"/>
        <v/>
      </c>
    </row>
    <row r="12" ht="18.0" customHeight="1">
      <c r="A12" s="42"/>
      <c r="B12" s="42"/>
      <c r="C12" s="42"/>
      <c r="D12" s="42"/>
      <c r="E12" s="42"/>
      <c r="F12" s="42"/>
      <c r="G12" s="42"/>
      <c r="H12" s="42"/>
      <c r="I12" s="39" t="str">
        <f t="shared" si="1"/>
        <v/>
      </c>
      <c r="J12" s="39" t="str">
        <f t="shared" si="2"/>
        <v/>
      </c>
      <c r="K12" s="40" t="str">
        <f t="shared" si="3"/>
        <v/>
      </c>
      <c r="L12" s="41" t="str">
        <f t="shared" si="4"/>
        <v/>
      </c>
    </row>
    <row r="13" ht="18.0" customHeight="1">
      <c r="A13" s="21"/>
      <c r="B13" s="21"/>
      <c r="C13" s="21"/>
      <c r="D13" s="21"/>
      <c r="E13" s="21"/>
      <c r="F13" s="21"/>
      <c r="G13" s="21"/>
      <c r="H13" s="21"/>
      <c r="I13" s="39" t="str">
        <f t="shared" si="1"/>
        <v/>
      </c>
      <c r="J13" s="39" t="str">
        <f t="shared" si="2"/>
        <v/>
      </c>
      <c r="K13" s="40" t="str">
        <f t="shared" si="3"/>
        <v/>
      </c>
      <c r="L13" s="41" t="str">
        <f t="shared" si="4"/>
        <v/>
      </c>
    </row>
    <row r="14" ht="18.0" customHeight="1">
      <c r="A14" s="42"/>
      <c r="B14" s="42"/>
      <c r="C14" s="42"/>
      <c r="D14" s="42"/>
      <c r="E14" s="42"/>
      <c r="F14" s="42"/>
      <c r="G14" s="42"/>
      <c r="H14" s="42"/>
      <c r="I14" s="39" t="str">
        <f t="shared" si="1"/>
        <v/>
      </c>
      <c r="J14" s="39" t="str">
        <f t="shared" si="2"/>
        <v/>
      </c>
      <c r="K14" s="40" t="str">
        <f t="shared" si="3"/>
        <v/>
      </c>
      <c r="L14" s="41" t="str">
        <f t="shared" si="4"/>
        <v/>
      </c>
    </row>
    <row r="15" ht="18.0" customHeight="1">
      <c r="A15" s="21"/>
      <c r="B15" s="21"/>
      <c r="C15" s="21"/>
      <c r="D15" s="21"/>
      <c r="E15" s="21"/>
      <c r="F15" s="21"/>
      <c r="G15" s="21"/>
      <c r="H15" s="21"/>
      <c r="I15" s="39" t="str">
        <f t="shared" si="1"/>
        <v/>
      </c>
      <c r="J15" s="39" t="str">
        <f t="shared" si="2"/>
        <v/>
      </c>
      <c r="K15" s="40" t="str">
        <f t="shared" si="3"/>
        <v/>
      </c>
      <c r="L15" s="41" t="str">
        <f t="shared" si="4"/>
        <v/>
      </c>
    </row>
    <row r="16" ht="18.0" customHeight="1">
      <c r="A16" s="42"/>
      <c r="B16" s="42"/>
      <c r="C16" s="42"/>
      <c r="D16" s="42"/>
      <c r="E16" s="42"/>
      <c r="F16" s="42"/>
      <c r="G16" s="42"/>
      <c r="H16" s="42"/>
      <c r="I16" s="39" t="str">
        <f t="shared" si="1"/>
        <v/>
      </c>
      <c r="J16" s="39" t="str">
        <f t="shared" si="2"/>
        <v/>
      </c>
      <c r="K16" s="40" t="str">
        <f t="shared" si="3"/>
        <v/>
      </c>
      <c r="L16" s="41" t="str">
        <f t="shared" si="4"/>
        <v/>
      </c>
    </row>
    <row r="17" ht="18.0" customHeight="1">
      <c r="A17" s="21"/>
      <c r="B17" s="21"/>
      <c r="C17" s="21"/>
      <c r="D17" s="21"/>
      <c r="E17" s="21"/>
      <c r="F17" s="21"/>
      <c r="G17" s="21"/>
      <c r="H17" s="21"/>
      <c r="I17" s="39" t="str">
        <f t="shared" si="1"/>
        <v/>
      </c>
      <c r="J17" s="39" t="str">
        <f t="shared" si="2"/>
        <v/>
      </c>
      <c r="K17" s="40" t="str">
        <f t="shared" si="3"/>
        <v/>
      </c>
      <c r="L17" s="41" t="str">
        <f t="shared" si="4"/>
        <v/>
      </c>
    </row>
    <row r="18" ht="18.0" customHeight="1">
      <c r="A18" s="42"/>
      <c r="B18" s="42"/>
      <c r="C18" s="42"/>
      <c r="D18" s="42"/>
      <c r="E18" s="42"/>
      <c r="F18" s="42"/>
      <c r="G18" s="42"/>
      <c r="H18" s="42"/>
      <c r="I18" s="39" t="str">
        <f t="shared" si="1"/>
        <v/>
      </c>
      <c r="J18" s="39" t="str">
        <f t="shared" si="2"/>
        <v/>
      </c>
      <c r="K18" s="40" t="str">
        <f t="shared" si="3"/>
        <v/>
      </c>
      <c r="L18" s="41" t="str">
        <f t="shared" si="4"/>
        <v/>
      </c>
    </row>
    <row r="19" ht="18.0" customHeight="1">
      <c r="A19" s="21"/>
      <c r="B19" s="21"/>
      <c r="C19" s="21"/>
      <c r="D19" s="21"/>
      <c r="E19" s="21"/>
      <c r="F19" s="21"/>
      <c r="G19" s="21"/>
      <c r="H19" s="21"/>
      <c r="I19" s="39" t="str">
        <f t="shared" si="1"/>
        <v/>
      </c>
      <c r="J19" s="39" t="str">
        <f t="shared" si="2"/>
        <v/>
      </c>
      <c r="K19" s="40" t="str">
        <f t="shared" si="3"/>
        <v/>
      </c>
      <c r="L19" s="41" t="str">
        <f t="shared" si="4"/>
        <v/>
      </c>
    </row>
    <row r="20" ht="18.0" customHeight="1">
      <c r="A20" s="42"/>
      <c r="B20" s="42"/>
      <c r="C20" s="42"/>
      <c r="D20" s="42"/>
      <c r="E20" s="42"/>
      <c r="F20" s="42"/>
      <c r="G20" s="42"/>
      <c r="H20" s="42"/>
      <c r="I20" s="39" t="str">
        <f t="shared" si="1"/>
        <v/>
      </c>
      <c r="J20" s="39" t="str">
        <f t="shared" si="2"/>
        <v/>
      </c>
      <c r="K20" s="40" t="str">
        <f t="shared" si="3"/>
        <v/>
      </c>
      <c r="L20" s="41" t="str">
        <f t="shared" si="4"/>
        <v/>
      </c>
    </row>
    <row r="21" ht="18.0" customHeight="1">
      <c r="A21" s="21"/>
      <c r="B21" s="21"/>
      <c r="C21" s="21"/>
      <c r="D21" s="21"/>
      <c r="E21" s="21"/>
      <c r="F21" s="21"/>
      <c r="G21" s="21"/>
      <c r="H21" s="21"/>
      <c r="I21" s="39" t="str">
        <f t="shared" si="1"/>
        <v/>
      </c>
      <c r="J21" s="39" t="str">
        <f t="shared" si="2"/>
        <v/>
      </c>
      <c r="K21" s="40" t="str">
        <f t="shared" si="3"/>
        <v/>
      </c>
      <c r="L21" s="41" t="str">
        <f t="shared" si="4"/>
        <v/>
      </c>
    </row>
    <row r="22" ht="18.0" customHeight="1">
      <c r="A22" s="42"/>
      <c r="B22" s="42"/>
      <c r="C22" s="42"/>
      <c r="D22" s="42"/>
      <c r="E22" s="42"/>
      <c r="F22" s="42"/>
      <c r="G22" s="42"/>
      <c r="H22" s="42"/>
      <c r="I22" s="39" t="str">
        <f t="shared" si="1"/>
        <v/>
      </c>
      <c r="J22" s="39" t="str">
        <f t="shared" si="2"/>
        <v/>
      </c>
      <c r="K22" s="40" t="str">
        <f t="shared" si="3"/>
        <v/>
      </c>
      <c r="L22" s="41" t="str">
        <f t="shared" si="4"/>
        <v/>
      </c>
    </row>
    <row r="23" ht="18.0" customHeight="1">
      <c r="A23" s="21"/>
      <c r="B23" s="21"/>
      <c r="C23" s="21"/>
      <c r="D23" s="21"/>
      <c r="E23" s="21"/>
      <c r="F23" s="21"/>
      <c r="G23" s="21"/>
      <c r="H23" s="21"/>
      <c r="I23" s="39" t="str">
        <f t="shared" si="1"/>
        <v/>
      </c>
      <c r="J23" s="39" t="str">
        <f t="shared" si="2"/>
        <v/>
      </c>
      <c r="K23" s="40" t="str">
        <f t="shared" si="3"/>
        <v/>
      </c>
      <c r="L23" s="41" t="str">
        <f t="shared" si="4"/>
        <v/>
      </c>
    </row>
    <row r="24" ht="18.0" customHeight="1">
      <c r="A24" s="42"/>
      <c r="B24" s="42"/>
      <c r="C24" s="42"/>
      <c r="D24" s="42"/>
      <c r="E24" s="42"/>
      <c r="F24" s="42"/>
      <c r="G24" s="42"/>
      <c r="H24" s="42"/>
      <c r="I24" s="39" t="str">
        <f t="shared" si="1"/>
        <v/>
      </c>
      <c r="J24" s="39" t="str">
        <f t="shared" si="2"/>
        <v/>
      </c>
      <c r="K24" s="40" t="str">
        <f t="shared" si="3"/>
        <v/>
      </c>
      <c r="L24" s="41" t="str">
        <f t="shared" si="4"/>
        <v/>
      </c>
    </row>
    <row r="25" ht="18.0" customHeight="1">
      <c r="A25" s="21"/>
      <c r="B25" s="21"/>
      <c r="C25" s="21"/>
      <c r="D25" s="21"/>
      <c r="E25" s="21"/>
      <c r="F25" s="21"/>
      <c r="G25" s="21"/>
      <c r="H25" s="21"/>
      <c r="I25" s="39" t="str">
        <f t="shared" si="1"/>
        <v/>
      </c>
      <c r="J25" s="39" t="str">
        <f t="shared" si="2"/>
        <v/>
      </c>
      <c r="K25" s="40" t="str">
        <f t="shared" si="3"/>
        <v/>
      </c>
      <c r="L25" s="41" t="str">
        <f t="shared" si="4"/>
        <v/>
      </c>
    </row>
    <row r="26" ht="18.0" customHeight="1">
      <c r="A26" s="42"/>
      <c r="B26" s="42"/>
      <c r="C26" s="42"/>
      <c r="D26" s="42"/>
      <c r="E26" s="42"/>
      <c r="F26" s="42"/>
      <c r="G26" s="42"/>
      <c r="H26" s="42"/>
      <c r="I26" s="39" t="str">
        <f t="shared" si="1"/>
        <v/>
      </c>
      <c r="J26" s="39" t="str">
        <f t="shared" si="2"/>
        <v/>
      </c>
      <c r="K26" s="40" t="str">
        <f t="shared" si="3"/>
        <v/>
      </c>
      <c r="L26" s="41" t="str">
        <f t="shared" si="4"/>
        <v/>
      </c>
    </row>
    <row r="27" ht="15.75" customHeight="1"/>
    <row r="28" ht="19.5" customHeight="1">
      <c r="A28" s="43" t="s">
        <v>134</v>
      </c>
      <c r="B28" s="10"/>
      <c r="C28" s="10"/>
      <c r="D28" s="10"/>
    </row>
    <row r="29" ht="18.0" customHeight="1">
      <c r="A29" s="44" t="s">
        <v>135</v>
      </c>
      <c r="B29" s="45" t="str">
        <f>IFERROR(AVERAGEIF(C7:C26,"&gt;0"),"")</f>
        <v/>
      </c>
      <c r="C29" s="10"/>
      <c r="D29" s="36"/>
    </row>
    <row r="30" ht="18.0" customHeight="1">
      <c r="A30" s="44" t="s">
        <v>136</v>
      </c>
      <c r="B30" s="45" t="str">
        <f>IFERROR(AVERAGEIF(D7:D26,"&gt;0"),"")</f>
        <v/>
      </c>
      <c r="C30" s="10"/>
      <c r="D30" s="36"/>
    </row>
    <row r="31" ht="18.0" customHeight="1">
      <c r="A31" s="44" t="s">
        <v>137</v>
      </c>
      <c r="B31" s="45" t="str">
        <f>IFERROR(COUNTIF(E7:E26,"CUMPLE")/COUNTA(E7:E26)*100,"")</f>
        <v/>
      </c>
      <c r="C31" s="10"/>
      <c r="D31" s="36"/>
    </row>
    <row r="32" ht="18.0" customHeight="1">
      <c r="A32" s="44" t="s">
        <v>138</v>
      </c>
      <c r="B32" s="45" t="str">
        <f>IFERROR(AVERAGEIF(F7:F26,"&gt;0"),"")</f>
        <v/>
      </c>
      <c r="C32" s="10"/>
      <c r="D32" s="36"/>
    </row>
    <row r="33" ht="18.0" customHeight="1">
      <c r="A33" s="44" t="s">
        <v>139</v>
      </c>
      <c r="B33" s="45" t="str">
        <f>IFERROR(COUNTIF(G7:G26,"SÍ")/COUNTA(G7:G26)*100,"")</f>
        <v/>
      </c>
      <c r="C33" s="10"/>
      <c r="D33" s="36"/>
    </row>
    <row r="34" ht="18.0" customHeight="1">
      <c r="A34" s="44" t="s">
        <v>140</v>
      </c>
      <c r="B34" s="45">
        <f>COUNTA(A7:A26)</f>
        <v>0</v>
      </c>
      <c r="C34" s="10"/>
      <c r="D34" s="36"/>
    </row>
    <row r="35" ht="15.75" customHeight="1"/>
    <row r="36" ht="15.75" customHeight="1"/>
    <row r="37" ht="21.75" customHeight="1">
      <c r="A37" s="46" t="s">
        <v>141</v>
      </c>
      <c r="B37" s="10"/>
      <c r="C37" s="10"/>
      <c r="D37" s="10"/>
      <c r="E37" s="10"/>
      <c r="F37" s="10"/>
      <c r="G37" s="10"/>
      <c r="H37" s="10"/>
      <c r="I37" s="10"/>
      <c r="J37" s="10"/>
      <c r="K37" s="10"/>
      <c r="L37" s="36"/>
    </row>
    <row r="38" ht="36.0" customHeight="1">
      <c r="A38" s="38" t="s">
        <v>125</v>
      </c>
      <c r="B38" s="38" t="s">
        <v>52</v>
      </c>
      <c r="C38" s="38" t="s">
        <v>126</v>
      </c>
      <c r="D38" s="38" t="s">
        <v>127</v>
      </c>
      <c r="E38" s="38" t="s">
        <v>64</v>
      </c>
      <c r="F38" s="38" t="s">
        <v>128</v>
      </c>
      <c r="G38" s="38" t="s">
        <v>66</v>
      </c>
      <c r="H38" s="38" t="s">
        <v>129</v>
      </c>
      <c r="I38" s="38" t="s">
        <v>130</v>
      </c>
      <c r="J38" s="38" t="s">
        <v>131</v>
      </c>
      <c r="K38" s="38" t="s">
        <v>132</v>
      </c>
      <c r="L38" s="38" t="s">
        <v>133</v>
      </c>
    </row>
    <row r="39" ht="18.0" customHeight="1">
      <c r="A39" s="47"/>
      <c r="B39" s="47"/>
      <c r="C39" s="47"/>
      <c r="D39" s="47"/>
      <c r="E39" s="47"/>
      <c r="F39" s="47"/>
      <c r="G39" s="47"/>
      <c r="H39" s="47"/>
      <c r="I39" s="39" t="str">
        <f t="shared" ref="I39:I58" si="5">IFERROR(IF(C39="","",IF(C39&lt;5,"✅","❌")),"")</f>
        <v/>
      </c>
      <c r="J39" s="39" t="str">
        <f t="shared" ref="J39:J58" si="6">IFERROR(IF(D39="","",IF(D39&lt;10,"✅","❌")),"")</f>
        <v/>
      </c>
      <c r="K39" s="40" t="str">
        <f t="shared" ref="K39:K58" si="7">IFERROR(IF(F39="","",IF(F39&gt;=3.5,"✅ Bueno","⚠️ Revisar")),"")</f>
        <v/>
      </c>
      <c r="L39" s="41" t="str">
        <f t="shared" ref="L39:L58" si="8">IFERROR(IF(A39="","",TEXT(A39,"MMM YYYY")),"")</f>
        <v/>
      </c>
    </row>
    <row r="40" ht="18.0" customHeight="1">
      <c r="A40" s="48"/>
      <c r="B40" s="48"/>
      <c r="C40" s="48"/>
      <c r="D40" s="48"/>
      <c r="E40" s="48"/>
      <c r="F40" s="48"/>
      <c r="G40" s="48"/>
      <c r="H40" s="48"/>
      <c r="I40" s="39" t="str">
        <f t="shared" si="5"/>
        <v/>
      </c>
      <c r="J40" s="39" t="str">
        <f t="shared" si="6"/>
        <v/>
      </c>
      <c r="K40" s="40" t="str">
        <f t="shared" si="7"/>
        <v/>
      </c>
      <c r="L40" s="41" t="str">
        <f t="shared" si="8"/>
        <v/>
      </c>
    </row>
    <row r="41" ht="18.0" customHeight="1">
      <c r="A41" s="47"/>
      <c r="B41" s="47"/>
      <c r="C41" s="47"/>
      <c r="D41" s="47"/>
      <c r="E41" s="47"/>
      <c r="F41" s="47"/>
      <c r="G41" s="47"/>
      <c r="H41" s="47"/>
      <c r="I41" s="39" t="str">
        <f t="shared" si="5"/>
        <v/>
      </c>
      <c r="J41" s="39" t="str">
        <f t="shared" si="6"/>
        <v/>
      </c>
      <c r="K41" s="40" t="str">
        <f t="shared" si="7"/>
        <v/>
      </c>
      <c r="L41" s="41" t="str">
        <f t="shared" si="8"/>
        <v/>
      </c>
    </row>
    <row r="42" ht="18.0" customHeight="1">
      <c r="A42" s="48"/>
      <c r="B42" s="48"/>
      <c r="C42" s="48"/>
      <c r="D42" s="48"/>
      <c r="E42" s="48"/>
      <c r="F42" s="48"/>
      <c r="G42" s="48"/>
      <c r="H42" s="48"/>
      <c r="I42" s="39" t="str">
        <f t="shared" si="5"/>
        <v/>
      </c>
      <c r="J42" s="39" t="str">
        <f t="shared" si="6"/>
        <v/>
      </c>
      <c r="K42" s="40" t="str">
        <f t="shared" si="7"/>
        <v/>
      </c>
      <c r="L42" s="41" t="str">
        <f t="shared" si="8"/>
        <v/>
      </c>
    </row>
    <row r="43" ht="18.0" customHeight="1">
      <c r="A43" s="47"/>
      <c r="B43" s="47"/>
      <c r="C43" s="47"/>
      <c r="D43" s="47"/>
      <c r="E43" s="47"/>
      <c r="F43" s="47"/>
      <c r="G43" s="47"/>
      <c r="H43" s="47"/>
      <c r="I43" s="39" t="str">
        <f t="shared" si="5"/>
        <v/>
      </c>
      <c r="J43" s="39" t="str">
        <f t="shared" si="6"/>
        <v/>
      </c>
      <c r="K43" s="40" t="str">
        <f t="shared" si="7"/>
        <v/>
      </c>
      <c r="L43" s="41" t="str">
        <f t="shared" si="8"/>
        <v/>
      </c>
    </row>
    <row r="44" ht="18.0" customHeight="1">
      <c r="A44" s="48"/>
      <c r="B44" s="48"/>
      <c r="C44" s="48"/>
      <c r="D44" s="48"/>
      <c r="E44" s="48"/>
      <c r="F44" s="48"/>
      <c r="G44" s="48"/>
      <c r="H44" s="48"/>
      <c r="I44" s="39" t="str">
        <f t="shared" si="5"/>
        <v/>
      </c>
      <c r="J44" s="39" t="str">
        <f t="shared" si="6"/>
        <v/>
      </c>
      <c r="K44" s="40" t="str">
        <f t="shared" si="7"/>
        <v/>
      </c>
      <c r="L44" s="41" t="str">
        <f t="shared" si="8"/>
        <v/>
      </c>
    </row>
    <row r="45" ht="18.0" customHeight="1">
      <c r="A45" s="47"/>
      <c r="B45" s="47"/>
      <c r="C45" s="47"/>
      <c r="D45" s="47"/>
      <c r="E45" s="47"/>
      <c r="F45" s="47"/>
      <c r="G45" s="47"/>
      <c r="H45" s="47"/>
      <c r="I45" s="39" t="str">
        <f t="shared" si="5"/>
        <v/>
      </c>
      <c r="J45" s="39" t="str">
        <f t="shared" si="6"/>
        <v/>
      </c>
      <c r="K45" s="40" t="str">
        <f t="shared" si="7"/>
        <v/>
      </c>
      <c r="L45" s="41" t="str">
        <f t="shared" si="8"/>
        <v/>
      </c>
    </row>
    <row r="46" ht="18.0" customHeight="1">
      <c r="A46" s="48"/>
      <c r="B46" s="48"/>
      <c r="C46" s="48"/>
      <c r="D46" s="48"/>
      <c r="E46" s="48"/>
      <c r="F46" s="48"/>
      <c r="G46" s="48"/>
      <c r="H46" s="48"/>
      <c r="I46" s="39" t="str">
        <f t="shared" si="5"/>
        <v/>
      </c>
      <c r="J46" s="39" t="str">
        <f t="shared" si="6"/>
        <v/>
      </c>
      <c r="K46" s="40" t="str">
        <f t="shared" si="7"/>
        <v/>
      </c>
      <c r="L46" s="41" t="str">
        <f t="shared" si="8"/>
        <v/>
      </c>
    </row>
    <row r="47" ht="18.0" customHeight="1">
      <c r="A47" s="47"/>
      <c r="B47" s="47"/>
      <c r="C47" s="47"/>
      <c r="D47" s="47"/>
      <c r="E47" s="47"/>
      <c r="F47" s="47"/>
      <c r="G47" s="47"/>
      <c r="H47" s="47"/>
      <c r="I47" s="39" t="str">
        <f t="shared" si="5"/>
        <v/>
      </c>
      <c r="J47" s="39" t="str">
        <f t="shared" si="6"/>
        <v/>
      </c>
      <c r="K47" s="40" t="str">
        <f t="shared" si="7"/>
        <v/>
      </c>
      <c r="L47" s="41" t="str">
        <f t="shared" si="8"/>
        <v/>
      </c>
    </row>
    <row r="48" ht="18.0" customHeight="1">
      <c r="A48" s="48"/>
      <c r="B48" s="48"/>
      <c r="C48" s="48"/>
      <c r="D48" s="48"/>
      <c r="E48" s="48"/>
      <c r="F48" s="48"/>
      <c r="G48" s="48"/>
      <c r="H48" s="48"/>
      <c r="I48" s="39" t="str">
        <f t="shared" si="5"/>
        <v/>
      </c>
      <c r="J48" s="39" t="str">
        <f t="shared" si="6"/>
        <v/>
      </c>
      <c r="K48" s="40" t="str">
        <f t="shared" si="7"/>
        <v/>
      </c>
      <c r="L48" s="41" t="str">
        <f t="shared" si="8"/>
        <v/>
      </c>
    </row>
    <row r="49" ht="18.0" customHeight="1">
      <c r="A49" s="47"/>
      <c r="B49" s="47"/>
      <c r="C49" s="47"/>
      <c r="D49" s="47"/>
      <c r="E49" s="47"/>
      <c r="F49" s="47"/>
      <c r="G49" s="47"/>
      <c r="H49" s="47"/>
      <c r="I49" s="39" t="str">
        <f t="shared" si="5"/>
        <v/>
      </c>
      <c r="J49" s="39" t="str">
        <f t="shared" si="6"/>
        <v/>
      </c>
      <c r="K49" s="40" t="str">
        <f t="shared" si="7"/>
        <v/>
      </c>
      <c r="L49" s="41" t="str">
        <f t="shared" si="8"/>
        <v/>
      </c>
    </row>
    <row r="50" ht="18.0" customHeight="1">
      <c r="A50" s="48"/>
      <c r="B50" s="48"/>
      <c r="C50" s="48"/>
      <c r="D50" s="48"/>
      <c r="E50" s="48"/>
      <c r="F50" s="48"/>
      <c r="G50" s="48"/>
      <c r="H50" s="48"/>
      <c r="I50" s="39" t="str">
        <f t="shared" si="5"/>
        <v/>
      </c>
      <c r="J50" s="39" t="str">
        <f t="shared" si="6"/>
        <v/>
      </c>
      <c r="K50" s="40" t="str">
        <f t="shared" si="7"/>
        <v/>
      </c>
      <c r="L50" s="41" t="str">
        <f t="shared" si="8"/>
        <v/>
      </c>
    </row>
    <row r="51" ht="18.0" customHeight="1">
      <c r="A51" s="47"/>
      <c r="B51" s="47"/>
      <c r="C51" s="47"/>
      <c r="D51" s="47"/>
      <c r="E51" s="47"/>
      <c r="F51" s="47"/>
      <c r="G51" s="47"/>
      <c r="H51" s="47"/>
      <c r="I51" s="39" t="str">
        <f t="shared" si="5"/>
        <v/>
      </c>
      <c r="J51" s="39" t="str">
        <f t="shared" si="6"/>
        <v/>
      </c>
      <c r="K51" s="40" t="str">
        <f t="shared" si="7"/>
        <v/>
      </c>
      <c r="L51" s="41" t="str">
        <f t="shared" si="8"/>
        <v/>
      </c>
    </row>
    <row r="52" ht="18.0" customHeight="1">
      <c r="A52" s="48"/>
      <c r="B52" s="48"/>
      <c r="C52" s="48"/>
      <c r="D52" s="48"/>
      <c r="E52" s="48"/>
      <c r="F52" s="48"/>
      <c r="G52" s="48"/>
      <c r="H52" s="48"/>
      <c r="I52" s="39" t="str">
        <f t="shared" si="5"/>
        <v/>
      </c>
      <c r="J52" s="39" t="str">
        <f t="shared" si="6"/>
        <v/>
      </c>
      <c r="K52" s="40" t="str">
        <f t="shared" si="7"/>
        <v/>
      </c>
      <c r="L52" s="41" t="str">
        <f t="shared" si="8"/>
        <v/>
      </c>
    </row>
    <row r="53" ht="18.0" customHeight="1">
      <c r="A53" s="47"/>
      <c r="B53" s="47"/>
      <c r="C53" s="47"/>
      <c r="D53" s="47"/>
      <c r="E53" s="47"/>
      <c r="F53" s="47"/>
      <c r="G53" s="47"/>
      <c r="H53" s="47"/>
      <c r="I53" s="39" t="str">
        <f t="shared" si="5"/>
        <v/>
      </c>
      <c r="J53" s="39" t="str">
        <f t="shared" si="6"/>
        <v/>
      </c>
      <c r="K53" s="40" t="str">
        <f t="shared" si="7"/>
        <v/>
      </c>
      <c r="L53" s="41" t="str">
        <f t="shared" si="8"/>
        <v/>
      </c>
    </row>
    <row r="54" ht="18.0" customHeight="1">
      <c r="A54" s="48"/>
      <c r="B54" s="48"/>
      <c r="C54" s="48"/>
      <c r="D54" s="48"/>
      <c r="E54" s="48"/>
      <c r="F54" s="48"/>
      <c r="G54" s="48"/>
      <c r="H54" s="48"/>
      <c r="I54" s="39" t="str">
        <f t="shared" si="5"/>
        <v/>
      </c>
      <c r="J54" s="39" t="str">
        <f t="shared" si="6"/>
        <v/>
      </c>
      <c r="K54" s="40" t="str">
        <f t="shared" si="7"/>
        <v/>
      </c>
      <c r="L54" s="41" t="str">
        <f t="shared" si="8"/>
        <v/>
      </c>
    </row>
    <row r="55" ht="18.0" customHeight="1">
      <c r="A55" s="47"/>
      <c r="B55" s="47"/>
      <c r="C55" s="47"/>
      <c r="D55" s="47"/>
      <c r="E55" s="47"/>
      <c r="F55" s="47"/>
      <c r="G55" s="47"/>
      <c r="H55" s="47"/>
      <c r="I55" s="39" t="str">
        <f t="shared" si="5"/>
        <v/>
      </c>
      <c r="J55" s="39" t="str">
        <f t="shared" si="6"/>
        <v/>
      </c>
      <c r="K55" s="40" t="str">
        <f t="shared" si="7"/>
        <v/>
      </c>
      <c r="L55" s="41" t="str">
        <f t="shared" si="8"/>
        <v/>
      </c>
    </row>
    <row r="56" ht="18.0" customHeight="1">
      <c r="A56" s="48"/>
      <c r="B56" s="48"/>
      <c r="C56" s="48"/>
      <c r="D56" s="48"/>
      <c r="E56" s="48"/>
      <c r="F56" s="48"/>
      <c r="G56" s="48"/>
      <c r="H56" s="48"/>
      <c r="I56" s="39" t="str">
        <f t="shared" si="5"/>
        <v/>
      </c>
      <c r="J56" s="39" t="str">
        <f t="shared" si="6"/>
        <v/>
      </c>
      <c r="K56" s="40" t="str">
        <f t="shared" si="7"/>
        <v/>
      </c>
      <c r="L56" s="41" t="str">
        <f t="shared" si="8"/>
        <v/>
      </c>
    </row>
    <row r="57" ht="18.0" customHeight="1">
      <c r="A57" s="47"/>
      <c r="B57" s="47"/>
      <c r="C57" s="47"/>
      <c r="D57" s="47"/>
      <c r="E57" s="47"/>
      <c r="F57" s="47"/>
      <c r="G57" s="47"/>
      <c r="H57" s="47"/>
      <c r="I57" s="39" t="str">
        <f t="shared" si="5"/>
        <v/>
      </c>
      <c r="J57" s="39" t="str">
        <f t="shared" si="6"/>
        <v/>
      </c>
      <c r="K57" s="40" t="str">
        <f t="shared" si="7"/>
        <v/>
      </c>
      <c r="L57" s="41" t="str">
        <f t="shared" si="8"/>
        <v/>
      </c>
    </row>
    <row r="58" ht="18.0" customHeight="1">
      <c r="A58" s="48"/>
      <c r="B58" s="48"/>
      <c r="C58" s="48"/>
      <c r="D58" s="48"/>
      <c r="E58" s="48"/>
      <c r="F58" s="48"/>
      <c r="G58" s="48"/>
      <c r="H58" s="48"/>
      <c r="I58" s="39" t="str">
        <f t="shared" si="5"/>
        <v/>
      </c>
      <c r="J58" s="39" t="str">
        <f t="shared" si="6"/>
        <v/>
      </c>
      <c r="K58" s="40" t="str">
        <f t="shared" si="7"/>
        <v/>
      </c>
      <c r="L58" s="41" t="str">
        <f t="shared" si="8"/>
        <v/>
      </c>
    </row>
    <row r="59" ht="15.75" customHeight="1"/>
    <row r="60" ht="19.5" customHeight="1">
      <c r="A60" s="49" t="s">
        <v>142</v>
      </c>
      <c r="B60" s="10"/>
      <c r="C60" s="10"/>
      <c r="D60" s="10"/>
      <c r="E60" s="10"/>
      <c r="F60" s="10"/>
      <c r="G60" s="10"/>
      <c r="H60" s="10"/>
      <c r="I60" s="10"/>
      <c r="J60" s="10"/>
      <c r="K60" s="10"/>
      <c r="L60" s="36"/>
    </row>
    <row r="61" ht="18.0" customHeight="1">
      <c r="A61" s="44" t="s">
        <v>143</v>
      </c>
      <c r="B61" s="45" t="str">
        <f>IFERROR(AVERAGEIF(C39:C58,"&gt;0"),"")</f>
        <v/>
      </c>
      <c r="C61" s="10"/>
      <c r="D61" s="36"/>
    </row>
    <row r="62" ht="18.0" customHeight="1">
      <c r="A62" s="44" t="s">
        <v>144</v>
      </c>
      <c r="B62" s="45" t="str">
        <f>IFERROR(AVERAGEIF(D39:D58,"&gt;0"),"")</f>
        <v/>
      </c>
      <c r="C62" s="10"/>
      <c r="D62" s="36"/>
    </row>
    <row r="63" ht="18.0" customHeight="1">
      <c r="A63" s="44" t="s">
        <v>137</v>
      </c>
      <c r="B63" s="45" t="str">
        <f>IFERROR(COUNTIF(E39:E58,"CUMPLE")/COUNTA(E39:E58)*100,"")</f>
        <v/>
      </c>
      <c r="C63" s="10"/>
      <c r="D63" s="36"/>
    </row>
    <row r="64" ht="18.0" customHeight="1">
      <c r="A64" s="44" t="s">
        <v>145</v>
      </c>
      <c r="B64" s="45" t="str">
        <f>IFERROR(AVERAGEIF(F39:F58,"&gt;0"),"")</f>
        <v/>
      </c>
      <c r="C64" s="10"/>
      <c r="D64" s="36"/>
    </row>
    <row r="65" ht="18.0" customHeight="1">
      <c r="A65" s="44" t="s">
        <v>146</v>
      </c>
      <c r="B65" s="45" t="str">
        <f>IFERROR(COUNTIF(G39:G58,"SÍ")/COUNTA(G39:G58)*100,"")</f>
        <v/>
      </c>
      <c r="C65" s="10"/>
      <c r="D65" s="36"/>
    </row>
    <row r="66" ht="18.0" customHeight="1">
      <c r="A66" s="44" t="s">
        <v>140</v>
      </c>
      <c r="B66" s="45">
        <f>COUNTA(A39:A58)</f>
        <v>0</v>
      </c>
      <c r="C66" s="10"/>
      <c r="D66" s="36"/>
    </row>
    <row r="67" ht="15.75" customHeight="1"/>
    <row r="68" ht="15.75" customHeight="1"/>
    <row r="69" ht="21.75" customHeight="1">
      <c r="A69" s="50" t="s">
        <v>147</v>
      </c>
      <c r="B69" s="10"/>
      <c r="C69" s="10"/>
      <c r="D69" s="10"/>
      <c r="E69" s="10"/>
      <c r="F69" s="10"/>
      <c r="G69" s="10"/>
      <c r="H69" s="10"/>
      <c r="I69" s="10"/>
      <c r="J69" s="10"/>
      <c r="K69" s="10"/>
      <c r="L69" s="36"/>
    </row>
    <row r="70" ht="18.0" customHeight="1">
      <c r="A70" s="51" t="s">
        <v>51</v>
      </c>
      <c r="B70" s="51" t="s">
        <v>58</v>
      </c>
      <c r="C70" s="51" t="s">
        <v>61</v>
      </c>
      <c r="D70" s="51" t="s">
        <v>54</v>
      </c>
      <c r="E70" s="51" t="s">
        <v>148</v>
      </c>
    </row>
    <row r="71" ht="18.0" customHeight="1">
      <c r="A71" s="44" t="s">
        <v>149</v>
      </c>
      <c r="B71" s="52" t="str">
        <f>IFERROR(AVERAGEIF(C7:C26,"&gt;0"),"N/A")</f>
        <v>N/A</v>
      </c>
      <c r="C71" s="53" t="str">
        <f>IFERROR(AVERAGEIF(C39:C58,"&gt;0"),"N/A")</f>
        <v>N/A</v>
      </c>
      <c r="D71" s="54" t="s">
        <v>60</v>
      </c>
      <c r="E71" s="40" t="str">
        <f t="shared" ref="E71:E75" si="9">IFERROR(IF(OR(B71="N/A",C71="N/A"),"N/A",IF(B71&lt;C71,"Pedro","Zaby")),"N/A")</f>
        <v>N/A</v>
      </c>
    </row>
    <row r="72" ht="18.0" customHeight="1">
      <c r="A72" s="44" t="s">
        <v>150</v>
      </c>
      <c r="B72" s="52" t="str">
        <f>IFERROR(AVERAGEIF(D7:D26,"&gt;0"),"N/A")</f>
        <v>N/A</v>
      </c>
      <c r="C72" s="53" t="str">
        <f>IFERROR(AVERAGEIF(D39:D58,"&gt;0"),"N/A")</f>
        <v>N/A</v>
      </c>
      <c r="D72" s="54" t="s">
        <v>63</v>
      </c>
      <c r="E72" s="40" t="str">
        <f t="shared" si="9"/>
        <v>N/A</v>
      </c>
    </row>
    <row r="73" ht="18.0" customHeight="1">
      <c r="A73" s="44" t="s">
        <v>151</v>
      </c>
      <c r="B73" s="52" t="str">
        <f>IFERROR(COUNTIF(E7:E26,"CUMPLE")/COUNTA(E7:E26)*100,"N/A")</f>
        <v>N/A</v>
      </c>
      <c r="C73" s="53" t="str">
        <f>IFERROR(COUNTIF(E39:E58,"CUMPLE")/COUNTA(E39:E58)*100,"N/A")</f>
        <v>N/A</v>
      </c>
      <c r="D73" s="54" t="s">
        <v>24</v>
      </c>
      <c r="E73" s="40" t="str">
        <f t="shared" si="9"/>
        <v>N/A</v>
      </c>
    </row>
    <row r="74" ht="18.0" customHeight="1">
      <c r="A74" s="44" t="s">
        <v>152</v>
      </c>
      <c r="B74" s="52" t="str">
        <f>IFERROR(AVERAGEIF(F7:F26,"&gt;0"),"N/A")</f>
        <v>N/A</v>
      </c>
      <c r="C74" s="53" t="str">
        <f>IFERROR(AVERAGEIF(F39:F58,"&gt;0"),"N/A")</f>
        <v>N/A</v>
      </c>
      <c r="D74" s="54" t="s">
        <v>153</v>
      </c>
      <c r="E74" s="40" t="str">
        <f t="shared" si="9"/>
        <v>N/A</v>
      </c>
    </row>
    <row r="75" ht="18.0" customHeight="1">
      <c r="A75" s="44" t="s">
        <v>154</v>
      </c>
      <c r="B75" s="52" t="str">
        <f>IFERROR(COUNTIF(G7:G26,"SÍ")/COUNTA(G7:G26)*100,"N/A")</f>
        <v>N/A</v>
      </c>
      <c r="C75" s="53" t="str">
        <f>IFERROR(COUNTIF(G39:G58,"SÍ")/COUNTA(G39:G58)*100,"N/A")</f>
        <v>N/A</v>
      </c>
      <c r="D75" s="54" t="s">
        <v>34</v>
      </c>
      <c r="E75" s="40" t="str">
        <f t="shared" si="9"/>
        <v>N/A</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O1"/>
    <mergeCell ref="A2:O2"/>
    <mergeCell ref="A3:O3"/>
    <mergeCell ref="A5:O5"/>
    <mergeCell ref="A28:D28"/>
    <mergeCell ref="B29:D29"/>
    <mergeCell ref="B30:D30"/>
    <mergeCell ref="B62:D62"/>
    <mergeCell ref="B63:D63"/>
    <mergeCell ref="B64:D64"/>
    <mergeCell ref="B65:D65"/>
    <mergeCell ref="B66:D66"/>
    <mergeCell ref="A69:L69"/>
    <mergeCell ref="B31:D31"/>
    <mergeCell ref="B32:D32"/>
    <mergeCell ref="B33:D33"/>
    <mergeCell ref="B34:D34"/>
    <mergeCell ref="A37:L37"/>
    <mergeCell ref="A60:L60"/>
    <mergeCell ref="B61:D6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50.0"/>
    <col customWidth="1" min="3" max="3" width="35.0"/>
    <col customWidth="1" min="4" max="26" width="8.71"/>
  </cols>
  <sheetData>
    <row r="1" ht="19.5" customHeight="1">
      <c r="A1" s="55" t="s">
        <v>155</v>
      </c>
      <c r="B1" s="6"/>
      <c r="C1" s="7"/>
    </row>
    <row r="2" ht="18.0" customHeight="1">
      <c r="A2" s="56" t="s">
        <v>51</v>
      </c>
      <c r="B2" s="56" t="s">
        <v>156</v>
      </c>
      <c r="C2" s="56" t="s">
        <v>157</v>
      </c>
    </row>
    <row r="3" ht="54.75" customHeight="1">
      <c r="A3" s="20" t="s">
        <v>158</v>
      </c>
      <c r="B3" s="31" t="s">
        <v>159</v>
      </c>
      <c r="C3" s="31" t="s">
        <v>160</v>
      </c>
    </row>
    <row r="4" ht="54.75" customHeight="1">
      <c r="A4" s="20" t="s">
        <v>161</v>
      </c>
      <c r="B4" s="31" t="s">
        <v>162</v>
      </c>
      <c r="C4" s="31" t="s">
        <v>163</v>
      </c>
    </row>
    <row r="5" ht="54.75" customHeight="1">
      <c r="A5" s="20" t="s">
        <v>164</v>
      </c>
      <c r="B5" s="31" t="s">
        <v>165</v>
      </c>
      <c r="C5" s="31" t="s">
        <v>166</v>
      </c>
    </row>
    <row r="6" ht="54.75" customHeight="1">
      <c r="A6" s="20" t="s">
        <v>167</v>
      </c>
      <c r="B6" s="31" t="s">
        <v>168</v>
      </c>
      <c r="C6" s="31" t="s">
        <v>169</v>
      </c>
    </row>
    <row r="7" ht="54.75" customHeight="1">
      <c r="A7" s="20" t="s">
        <v>170</v>
      </c>
      <c r="B7" s="31" t="s">
        <v>171</v>
      </c>
      <c r="C7" s="31" t="s">
        <v>172</v>
      </c>
    </row>
    <row r="8" ht="54.75" customHeight="1">
      <c r="A8" s="20" t="s">
        <v>173</v>
      </c>
      <c r="B8" s="31" t="s">
        <v>174</v>
      </c>
      <c r="C8" s="31" t="s">
        <v>175</v>
      </c>
    </row>
    <row r="9">
      <c r="A9" s="2"/>
      <c r="B9" s="2"/>
      <c r="C9" s="2"/>
    </row>
    <row r="10">
      <c r="A10" s="2"/>
      <c r="B10" s="2"/>
      <c r="C10" s="2"/>
    </row>
    <row r="11" ht="18.0" customHeight="1">
      <c r="A11" s="57" t="s">
        <v>176</v>
      </c>
      <c r="B11" s="6"/>
      <c r="C11" s="7"/>
    </row>
    <row r="12" ht="39.75" customHeight="1">
      <c r="A12" s="20" t="s">
        <v>177</v>
      </c>
      <c r="B12" s="58" t="s">
        <v>178</v>
      </c>
      <c r="C12" s="11"/>
    </row>
    <row r="13" ht="39.75" customHeight="1">
      <c r="A13" s="20" t="s">
        <v>179</v>
      </c>
      <c r="B13" s="58" t="s">
        <v>180</v>
      </c>
      <c r="C13" s="11"/>
    </row>
    <row r="14" ht="39.75" customHeight="1">
      <c r="A14" s="20" t="s">
        <v>181</v>
      </c>
      <c r="B14" s="58" t="s">
        <v>182</v>
      </c>
      <c r="C14" s="11"/>
    </row>
    <row r="15" ht="39.75" customHeight="1">
      <c r="A15" s="20" t="s">
        <v>183</v>
      </c>
      <c r="B15" s="58" t="s">
        <v>184</v>
      </c>
      <c r="C15" s="11"/>
    </row>
    <row r="16" ht="39.75" customHeight="1">
      <c r="A16" s="20" t="s">
        <v>185</v>
      </c>
      <c r="B16" s="58" t="s">
        <v>186</v>
      </c>
      <c r="C16" s="11"/>
    </row>
    <row r="17" ht="39.75" customHeight="1">
      <c r="A17" s="20" t="s">
        <v>187</v>
      </c>
      <c r="B17" s="58" t="s">
        <v>188</v>
      </c>
      <c r="C17" s="11"/>
    </row>
    <row r="18" ht="39.75" customHeight="1">
      <c r="A18" s="20" t="s">
        <v>189</v>
      </c>
      <c r="B18" s="58" t="s">
        <v>190</v>
      </c>
      <c r="C18" s="11"/>
    </row>
    <row r="19" ht="39.75" customHeight="1">
      <c r="A19" s="20" t="s">
        <v>101</v>
      </c>
      <c r="B19" s="58" t="s">
        <v>191</v>
      </c>
      <c r="C19" s="11"/>
    </row>
    <row r="20" ht="39.75" customHeight="1">
      <c r="A20" s="20" t="s">
        <v>192</v>
      </c>
      <c r="B20" s="58" t="s">
        <v>193</v>
      </c>
      <c r="C20" s="11"/>
    </row>
    <row r="21" ht="15.75" customHeight="1">
      <c r="A21" s="2"/>
      <c r="B21" s="2"/>
      <c r="C21" s="2"/>
    </row>
    <row r="22" ht="15.75" customHeight="1">
      <c r="A22" s="2"/>
      <c r="B22" s="2"/>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mergeCells count="11">
    <mergeCell ref="B17:C17"/>
    <mergeCell ref="B18:C18"/>
    <mergeCell ref="B19:C19"/>
    <mergeCell ref="B20:C20"/>
    <mergeCell ref="A1:C1"/>
    <mergeCell ref="A11:C11"/>
    <mergeCell ref="B12:C12"/>
    <mergeCell ref="B13:C13"/>
    <mergeCell ref="B14:C14"/>
    <mergeCell ref="B15:C15"/>
    <mergeCell ref="B16:C1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7" width="14.0"/>
    <col customWidth="1" min="8" max="9" width="16.0"/>
    <col customWidth="1" min="10" max="26" width="8.71"/>
  </cols>
  <sheetData>
    <row r="1" ht="27.75" customHeight="1">
      <c r="A1" s="59" t="s">
        <v>194</v>
      </c>
      <c r="B1" s="6"/>
      <c r="C1" s="6"/>
      <c r="D1" s="6"/>
      <c r="E1" s="6"/>
      <c r="F1" s="6"/>
      <c r="G1" s="6"/>
      <c r="H1" s="6"/>
      <c r="I1" s="7"/>
    </row>
    <row r="2" ht="15.75" customHeight="1">
      <c r="A2" s="60" t="s">
        <v>195</v>
      </c>
    </row>
    <row r="3">
      <c r="A3" s="2"/>
      <c r="B3" s="2"/>
      <c r="C3" s="2"/>
      <c r="D3" s="2"/>
      <c r="E3" s="2"/>
      <c r="F3" s="2"/>
      <c r="G3" s="2"/>
      <c r="H3" s="2"/>
      <c r="I3" s="2"/>
    </row>
    <row r="4" ht="19.5" customHeight="1">
      <c r="A4" s="61" t="s">
        <v>196</v>
      </c>
      <c r="B4" s="10"/>
      <c r="C4" s="10"/>
      <c r="D4" s="10"/>
      <c r="E4" s="10"/>
      <c r="F4" s="10"/>
      <c r="G4" s="10"/>
      <c r="H4" s="10"/>
      <c r="I4" s="36"/>
    </row>
    <row r="5">
      <c r="A5" s="38" t="s">
        <v>197</v>
      </c>
      <c r="B5" s="38" t="s">
        <v>198</v>
      </c>
      <c r="C5" s="38" t="s">
        <v>199</v>
      </c>
      <c r="D5" s="38" t="s">
        <v>200</v>
      </c>
      <c r="E5" s="38" t="s">
        <v>201</v>
      </c>
      <c r="F5" s="38" t="s">
        <v>202</v>
      </c>
      <c r="G5" s="38" t="s">
        <v>203</v>
      </c>
      <c r="H5" s="38" t="s">
        <v>204</v>
      </c>
      <c r="I5" s="38" t="s">
        <v>205</v>
      </c>
    </row>
    <row r="6" ht="15.75" customHeight="1">
      <c r="A6" s="62" t="s">
        <v>206</v>
      </c>
      <c r="B6" s="24" t="s">
        <v>207</v>
      </c>
      <c r="C6" s="24">
        <v>1.0</v>
      </c>
      <c r="D6" s="24">
        <v>5.0</v>
      </c>
      <c r="E6" s="24" t="s">
        <v>208</v>
      </c>
      <c r="F6" s="24" t="s">
        <v>209</v>
      </c>
      <c r="G6" s="24" t="s">
        <v>210</v>
      </c>
      <c r="H6" s="24" t="s">
        <v>211</v>
      </c>
      <c r="I6" s="24" t="s">
        <v>212</v>
      </c>
    </row>
    <row r="7" ht="15.75" customHeight="1">
      <c r="A7" s="62" t="s">
        <v>213</v>
      </c>
      <c r="B7" s="24" t="s">
        <v>214</v>
      </c>
      <c r="C7" s="24">
        <v>1.0</v>
      </c>
      <c r="D7" s="24">
        <v>10.0</v>
      </c>
      <c r="E7" s="24" t="s">
        <v>215</v>
      </c>
      <c r="F7" s="24" t="s">
        <v>216</v>
      </c>
      <c r="G7" s="24" t="s">
        <v>217</v>
      </c>
      <c r="H7" s="24" t="s">
        <v>218</v>
      </c>
      <c r="I7" s="24" t="s">
        <v>219</v>
      </c>
    </row>
    <row r="8" ht="15.75" customHeight="1">
      <c r="A8" s="62" t="s">
        <v>220</v>
      </c>
      <c r="B8" s="24" t="s">
        <v>207</v>
      </c>
      <c r="C8" s="24">
        <v>1.0</v>
      </c>
      <c r="D8" s="24">
        <v>5.0</v>
      </c>
      <c r="E8" s="24" t="s">
        <v>208</v>
      </c>
      <c r="F8" s="24" t="s">
        <v>209</v>
      </c>
      <c r="G8" s="24" t="s">
        <v>210</v>
      </c>
      <c r="H8" s="24" t="s">
        <v>211</v>
      </c>
      <c r="I8" s="24" t="s">
        <v>212</v>
      </c>
    </row>
    <row r="9" ht="15.75" customHeight="1">
      <c r="A9" s="62" t="s">
        <v>221</v>
      </c>
      <c r="B9" s="24" t="s">
        <v>207</v>
      </c>
      <c r="C9" s="24">
        <v>1.0</v>
      </c>
      <c r="D9" s="24">
        <v>5.0</v>
      </c>
      <c r="E9" s="24" t="s">
        <v>208</v>
      </c>
      <c r="F9" s="24" t="s">
        <v>209</v>
      </c>
      <c r="G9" s="24" t="s">
        <v>210</v>
      </c>
      <c r="H9" s="24" t="s">
        <v>211</v>
      </c>
      <c r="I9" s="24" t="s">
        <v>212</v>
      </c>
    </row>
    <row r="10" ht="15.75" customHeight="1">
      <c r="A10" s="62" t="s">
        <v>222</v>
      </c>
      <c r="B10" s="24" t="s">
        <v>214</v>
      </c>
      <c r="C10" s="24">
        <v>1.0</v>
      </c>
      <c r="D10" s="24">
        <v>10.0</v>
      </c>
      <c r="E10" s="24" t="s">
        <v>215</v>
      </c>
      <c r="F10" s="24" t="s">
        <v>216</v>
      </c>
      <c r="G10" s="24" t="s">
        <v>217</v>
      </c>
      <c r="H10" s="24" t="s">
        <v>218</v>
      </c>
      <c r="I10" s="24" t="s">
        <v>219</v>
      </c>
    </row>
    <row r="11" ht="15.75" customHeight="1">
      <c r="A11" s="62" t="s">
        <v>223</v>
      </c>
      <c r="B11" s="24" t="s">
        <v>207</v>
      </c>
      <c r="C11" s="24">
        <v>1.0</v>
      </c>
      <c r="D11" s="24">
        <v>5.0</v>
      </c>
      <c r="E11" s="24" t="s">
        <v>208</v>
      </c>
      <c r="F11" s="24" t="s">
        <v>209</v>
      </c>
      <c r="G11" s="24" t="s">
        <v>210</v>
      </c>
      <c r="H11" s="24" t="s">
        <v>211</v>
      </c>
      <c r="I11" s="24" t="s">
        <v>212</v>
      </c>
    </row>
    <row r="12">
      <c r="A12" s="2"/>
      <c r="B12" s="2"/>
      <c r="C12" s="2"/>
      <c r="D12" s="2"/>
      <c r="E12" s="2"/>
      <c r="F12" s="2"/>
      <c r="G12" s="2"/>
      <c r="H12" s="2"/>
      <c r="I12" s="2"/>
    </row>
    <row r="13" ht="18.0" customHeight="1">
      <c r="A13" s="35" t="s">
        <v>224</v>
      </c>
      <c r="B13" s="10"/>
      <c r="C13" s="10"/>
      <c r="D13" s="10"/>
      <c r="E13" s="10"/>
      <c r="F13" s="10"/>
      <c r="G13" s="10"/>
      <c r="H13" s="10"/>
      <c r="I13" s="36"/>
    </row>
    <row r="14">
      <c r="A14" s="2"/>
      <c r="B14" s="2"/>
      <c r="C14" s="2"/>
      <c r="D14" s="2"/>
      <c r="E14" s="2"/>
      <c r="F14" s="2"/>
      <c r="G14" s="2"/>
      <c r="H14" s="2"/>
      <c r="I14" s="2"/>
    </row>
    <row r="15" ht="19.5" customHeight="1">
      <c r="A15" s="63" t="s">
        <v>225</v>
      </c>
      <c r="B15" s="10"/>
      <c r="C15" s="10"/>
      <c r="D15" s="10"/>
      <c r="E15" s="10"/>
      <c r="F15" s="10"/>
      <c r="G15" s="10"/>
      <c r="H15" s="10"/>
      <c r="I15" s="36"/>
    </row>
    <row r="16" ht="18.0" customHeight="1">
      <c r="A16" s="64" t="s">
        <v>226</v>
      </c>
    </row>
    <row r="17" ht="36.0" customHeight="1">
      <c r="A17" s="38" t="s">
        <v>227</v>
      </c>
      <c r="B17" s="38" t="s">
        <v>228</v>
      </c>
      <c r="C17" s="38" t="s">
        <v>229</v>
      </c>
      <c r="D17" s="38" t="s">
        <v>230</v>
      </c>
      <c r="E17" s="38" t="s">
        <v>231</v>
      </c>
      <c r="F17" s="38" t="s">
        <v>232</v>
      </c>
      <c r="G17" s="38" t="s">
        <v>233</v>
      </c>
      <c r="H17" s="38" t="s">
        <v>234</v>
      </c>
      <c r="I17" s="38" t="s">
        <v>55</v>
      </c>
    </row>
    <row r="18" ht="13.5" customHeight="1">
      <c r="A18" s="65"/>
      <c r="B18" s="65" t="s">
        <v>235</v>
      </c>
      <c r="C18" s="65" t="s">
        <v>236</v>
      </c>
      <c r="D18" s="65" t="s">
        <v>235</v>
      </c>
      <c r="E18" s="65" t="s">
        <v>235</v>
      </c>
      <c r="F18" s="65" t="s">
        <v>236</v>
      </c>
      <c r="G18" s="65" t="s">
        <v>235</v>
      </c>
      <c r="H18" s="66" t="s">
        <v>237</v>
      </c>
      <c r="I18" s="66" t="s">
        <v>237</v>
      </c>
    </row>
    <row r="19" ht="18.0" customHeight="1">
      <c r="A19" s="62" t="s">
        <v>238</v>
      </c>
      <c r="B19" s="67"/>
      <c r="C19" s="67"/>
      <c r="D19" s="67"/>
      <c r="E19" s="67"/>
      <c r="F19" s="67"/>
      <c r="G19" s="67"/>
      <c r="H19" s="68" t="str">
        <f t="shared" ref="H19:H30" si="1">IFERROR(AVERAGE(IF(B19&lt;&gt;"",B19/5*100,""),IF(C19&lt;&gt;"",C19/10*100,""),IF(D19&lt;&gt;"",D19/5*100,""),IF(E19&lt;&gt;"",E19/5*100,""),IF(F19&lt;&gt;"",F19/10*100,""),IF(G19&lt;&gt;"",G19/5*100,"")),"")</f>
        <v/>
      </c>
      <c r="I19" s="69" t="str">
        <f t="shared" ref="I19:I30" si="2">IFERROR(IF(H19="","",IF(H19&gt;=85,"✅ Excelente",IF(H19&gt;=75,"⚠️ Aceptable","🔴 Acción Requerida"))),"")</f>
        <v/>
      </c>
    </row>
    <row r="20" ht="18.0" customHeight="1">
      <c r="A20" s="62" t="s">
        <v>239</v>
      </c>
      <c r="B20" s="67"/>
      <c r="C20" s="67"/>
      <c r="D20" s="67"/>
      <c r="E20" s="67"/>
      <c r="F20" s="67"/>
      <c r="G20" s="67"/>
      <c r="H20" s="68" t="str">
        <f t="shared" si="1"/>
        <v/>
      </c>
      <c r="I20" s="69" t="str">
        <f t="shared" si="2"/>
        <v/>
      </c>
    </row>
    <row r="21" ht="18.0" customHeight="1">
      <c r="A21" s="62" t="s">
        <v>240</v>
      </c>
      <c r="B21" s="67"/>
      <c r="C21" s="67"/>
      <c r="D21" s="67"/>
      <c r="E21" s="67"/>
      <c r="F21" s="67"/>
      <c r="G21" s="67"/>
      <c r="H21" s="68" t="str">
        <f t="shared" si="1"/>
        <v/>
      </c>
      <c r="I21" s="69" t="str">
        <f t="shared" si="2"/>
        <v/>
      </c>
    </row>
    <row r="22" ht="18.0" customHeight="1">
      <c r="A22" s="62" t="s">
        <v>241</v>
      </c>
      <c r="B22" s="67"/>
      <c r="C22" s="67"/>
      <c r="D22" s="67"/>
      <c r="E22" s="67"/>
      <c r="F22" s="67"/>
      <c r="G22" s="67"/>
      <c r="H22" s="68" t="str">
        <f t="shared" si="1"/>
        <v/>
      </c>
      <c r="I22" s="69" t="str">
        <f t="shared" si="2"/>
        <v/>
      </c>
    </row>
    <row r="23" ht="18.0" customHeight="1">
      <c r="A23" s="62" t="s">
        <v>242</v>
      </c>
      <c r="B23" s="67"/>
      <c r="C23" s="67"/>
      <c r="D23" s="67"/>
      <c r="E23" s="67"/>
      <c r="F23" s="67"/>
      <c r="G23" s="67"/>
      <c r="H23" s="68" t="str">
        <f t="shared" si="1"/>
        <v/>
      </c>
      <c r="I23" s="69" t="str">
        <f t="shared" si="2"/>
        <v/>
      </c>
    </row>
    <row r="24" ht="18.0" customHeight="1">
      <c r="A24" s="62" t="s">
        <v>243</v>
      </c>
      <c r="B24" s="67"/>
      <c r="C24" s="67"/>
      <c r="D24" s="67"/>
      <c r="E24" s="67"/>
      <c r="F24" s="67"/>
      <c r="G24" s="67"/>
      <c r="H24" s="68" t="str">
        <f t="shared" si="1"/>
        <v/>
      </c>
      <c r="I24" s="69" t="str">
        <f t="shared" si="2"/>
        <v/>
      </c>
    </row>
    <row r="25" ht="18.0" customHeight="1">
      <c r="A25" s="62" t="s">
        <v>244</v>
      </c>
      <c r="B25" s="67"/>
      <c r="C25" s="67"/>
      <c r="D25" s="67"/>
      <c r="E25" s="67"/>
      <c r="F25" s="67"/>
      <c r="G25" s="67"/>
      <c r="H25" s="68" t="str">
        <f t="shared" si="1"/>
        <v/>
      </c>
      <c r="I25" s="69" t="str">
        <f t="shared" si="2"/>
        <v/>
      </c>
    </row>
    <row r="26" ht="18.0" customHeight="1">
      <c r="A26" s="62" t="s">
        <v>245</v>
      </c>
      <c r="B26" s="67"/>
      <c r="C26" s="67"/>
      <c r="D26" s="67"/>
      <c r="E26" s="67"/>
      <c r="F26" s="67"/>
      <c r="G26" s="67"/>
      <c r="H26" s="68" t="str">
        <f t="shared" si="1"/>
        <v/>
      </c>
      <c r="I26" s="69" t="str">
        <f t="shared" si="2"/>
        <v/>
      </c>
    </row>
    <row r="27" ht="18.0" customHeight="1">
      <c r="A27" s="62" t="s">
        <v>246</v>
      </c>
      <c r="B27" s="67"/>
      <c r="C27" s="67"/>
      <c r="D27" s="67"/>
      <c r="E27" s="67"/>
      <c r="F27" s="67"/>
      <c r="G27" s="67"/>
      <c r="H27" s="68" t="str">
        <f t="shared" si="1"/>
        <v/>
      </c>
      <c r="I27" s="69" t="str">
        <f t="shared" si="2"/>
        <v/>
      </c>
    </row>
    <row r="28" ht="18.0" customHeight="1">
      <c r="A28" s="62" t="s">
        <v>247</v>
      </c>
      <c r="B28" s="67"/>
      <c r="C28" s="67"/>
      <c r="D28" s="67"/>
      <c r="E28" s="67"/>
      <c r="F28" s="67"/>
      <c r="G28" s="67"/>
      <c r="H28" s="68" t="str">
        <f t="shared" si="1"/>
        <v/>
      </c>
      <c r="I28" s="69" t="str">
        <f t="shared" si="2"/>
        <v/>
      </c>
    </row>
    <row r="29" ht="18.0" customHeight="1">
      <c r="A29" s="62" t="s">
        <v>248</v>
      </c>
      <c r="B29" s="67"/>
      <c r="C29" s="67"/>
      <c r="D29" s="67"/>
      <c r="E29" s="67"/>
      <c r="F29" s="67"/>
      <c r="G29" s="67"/>
      <c r="H29" s="68" t="str">
        <f t="shared" si="1"/>
        <v/>
      </c>
      <c r="I29" s="69" t="str">
        <f t="shared" si="2"/>
        <v/>
      </c>
    </row>
    <row r="30" ht="18.0" customHeight="1">
      <c r="A30" s="62" t="s">
        <v>249</v>
      </c>
      <c r="B30" s="67"/>
      <c r="C30" s="67"/>
      <c r="D30" s="67"/>
      <c r="E30" s="67"/>
      <c r="F30" s="67"/>
      <c r="G30" s="67"/>
      <c r="H30" s="68" t="str">
        <f t="shared" si="1"/>
        <v/>
      </c>
      <c r="I30" s="69" t="str">
        <f t="shared" si="2"/>
        <v/>
      </c>
    </row>
    <row r="31" ht="15.75" customHeight="1">
      <c r="A31" s="2"/>
      <c r="B31" s="2"/>
      <c r="C31" s="2"/>
      <c r="D31" s="2"/>
      <c r="E31" s="2"/>
      <c r="F31" s="2"/>
      <c r="G31" s="2"/>
      <c r="H31" s="2"/>
      <c r="I31" s="2"/>
    </row>
    <row r="32" ht="15.75" customHeight="1">
      <c r="A32" s="2"/>
      <c r="B32" s="2"/>
      <c r="C32" s="2"/>
      <c r="D32" s="2"/>
      <c r="E32" s="2"/>
      <c r="F32" s="2"/>
      <c r="G32" s="2"/>
      <c r="H32" s="2"/>
      <c r="I32" s="2"/>
    </row>
    <row r="33">
      <c r="A33" s="63" t="s">
        <v>250</v>
      </c>
      <c r="B33" s="10"/>
      <c r="C33" s="10"/>
      <c r="D33" s="2"/>
      <c r="E33" s="2"/>
      <c r="F33" s="2"/>
      <c r="G33" s="2"/>
      <c r="H33" s="2"/>
      <c r="I33" s="2"/>
    </row>
    <row r="34">
      <c r="A34" s="70" t="s">
        <v>251</v>
      </c>
      <c r="B34" s="71" t="str">
        <f>IFERROR(AVERAGE(H19:H30),"")</f>
        <v/>
      </c>
      <c r="C34" s="11"/>
      <c r="D34" s="2"/>
      <c r="E34" s="2"/>
      <c r="F34" s="2"/>
      <c r="G34" s="2"/>
      <c r="H34" s="2"/>
      <c r="I34" s="2"/>
    </row>
    <row r="35">
      <c r="A35" s="70" t="s">
        <v>252</v>
      </c>
      <c r="B35" s="71" t="str">
        <f t="array" ref="B35">IFERROR(INDEX(A19:A30,MATCH(MAX(H19:H30),H19:H30,0)),"")</f>
        <v/>
      </c>
      <c r="C35" s="11"/>
      <c r="D35" s="2"/>
      <c r="E35" s="2"/>
      <c r="F35" s="2"/>
      <c r="G35" s="2"/>
      <c r="H35" s="2"/>
      <c r="I35" s="2"/>
    </row>
    <row r="36">
      <c r="A36" s="70" t="s">
        <v>253</v>
      </c>
      <c r="B36" s="71" t="str">
        <f t="array" ref="B36">IFERROR(INDEX(A19:A30,MATCH(MIN(IF(H19:H30&lt;&gt;"",H19:H30)),H19:H30,0)),"")</f>
        <v/>
      </c>
      <c r="C36" s="11"/>
      <c r="D36" s="2"/>
      <c r="E36" s="2"/>
      <c r="F36" s="2"/>
      <c r="G36" s="2"/>
      <c r="H36" s="2"/>
      <c r="I36" s="2"/>
    </row>
    <row r="37">
      <c r="A37" s="70" t="s">
        <v>254</v>
      </c>
      <c r="B37" s="71">
        <f>IFERROR(MAX(H19:H30),"")</f>
        <v>0</v>
      </c>
      <c r="C37" s="11"/>
      <c r="D37" s="2"/>
      <c r="E37" s="2"/>
      <c r="F37" s="2"/>
      <c r="G37" s="2"/>
      <c r="H37" s="2"/>
      <c r="I37" s="2"/>
    </row>
    <row r="38">
      <c r="A38" s="70" t="s">
        <v>255</v>
      </c>
      <c r="B38" s="71" t="str">
        <f>IFERROR(MIN(IF(H19:H30&lt;&gt;"",H19:H30)),"")</f>
        <v/>
      </c>
      <c r="C38" s="11"/>
      <c r="D38" s="2"/>
      <c r="E38" s="2"/>
      <c r="F38" s="2"/>
      <c r="G38" s="2"/>
      <c r="H38" s="2"/>
      <c r="I38" s="2"/>
    </row>
    <row r="39">
      <c r="A39" s="70" t="s">
        <v>256</v>
      </c>
      <c r="B39" s="71">
        <f>IFERROR(COUNTIF(H19:H30,"&gt;=85"),"")</f>
        <v>0</v>
      </c>
      <c r="C39" s="11"/>
      <c r="D39" s="2"/>
      <c r="E39" s="2"/>
      <c r="F39" s="2"/>
      <c r="G39" s="2"/>
      <c r="H39" s="2"/>
      <c r="I39" s="2"/>
    </row>
    <row r="40">
      <c r="A40" s="70" t="s">
        <v>257</v>
      </c>
      <c r="B40" s="71">
        <f>IFERROR(COUNTIF(H19:H30,"&lt;75"),"")</f>
        <v>0</v>
      </c>
      <c r="C40" s="11"/>
      <c r="D40" s="2"/>
      <c r="E40" s="2"/>
      <c r="F40" s="2"/>
      <c r="G40" s="2"/>
      <c r="H40" s="2"/>
      <c r="I40" s="2"/>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14">
    <mergeCell ref="B34:C34"/>
    <mergeCell ref="B35:C35"/>
    <mergeCell ref="B36:C36"/>
    <mergeCell ref="B37:C37"/>
    <mergeCell ref="B38:C38"/>
    <mergeCell ref="B39:C39"/>
    <mergeCell ref="B40:C40"/>
    <mergeCell ref="A1:I1"/>
    <mergeCell ref="A2:I2"/>
    <mergeCell ref="A4:I4"/>
    <mergeCell ref="A13:I13"/>
    <mergeCell ref="A15:I15"/>
    <mergeCell ref="A16:I16"/>
    <mergeCell ref="A33:C3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6" width="14.0"/>
    <col customWidth="1" min="7" max="8" width="18.0"/>
    <col customWidth="1" min="9" max="26" width="8.71"/>
  </cols>
  <sheetData>
    <row r="1" ht="27.75" customHeight="1">
      <c r="A1" s="59" t="s">
        <v>258</v>
      </c>
      <c r="B1" s="6"/>
      <c r="C1" s="6"/>
      <c r="D1" s="6"/>
      <c r="E1" s="6"/>
      <c r="F1" s="6"/>
      <c r="G1" s="6"/>
      <c r="H1" s="7"/>
    </row>
    <row r="2" ht="15.75" customHeight="1">
      <c r="A2" s="60" t="s">
        <v>259</v>
      </c>
    </row>
    <row r="3">
      <c r="A3" s="2"/>
      <c r="B3" s="2"/>
      <c r="C3" s="2"/>
      <c r="D3" s="2"/>
      <c r="E3" s="2"/>
      <c r="F3" s="2"/>
      <c r="G3" s="2"/>
      <c r="H3" s="2"/>
    </row>
    <row r="4" ht="19.5" customHeight="1">
      <c r="A4" s="63" t="s">
        <v>260</v>
      </c>
      <c r="B4" s="10"/>
      <c r="C4" s="10"/>
      <c r="D4" s="10"/>
      <c r="E4" s="10"/>
      <c r="F4" s="10"/>
      <c r="G4" s="10"/>
      <c r="H4" s="36"/>
    </row>
    <row r="5" ht="21.75" customHeight="1">
      <c r="A5" s="64" t="s">
        <v>261</v>
      </c>
    </row>
    <row r="6" ht="42.0" customHeight="1">
      <c r="A6" s="38" t="s">
        <v>227</v>
      </c>
      <c r="B6" s="38" t="s">
        <v>262</v>
      </c>
      <c r="C6" s="38" t="s">
        <v>263</v>
      </c>
      <c r="D6" s="38" t="s">
        <v>264</v>
      </c>
      <c r="E6" s="38" t="s">
        <v>265</v>
      </c>
      <c r="F6" s="38" t="s">
        <v>266</v>
      </c>
      <c r="G6" s="38" t="s">
        <v>267</v>
      </c>
      <c r="H6" s="38" t="s">
        <v>268</v>
      </c>
    </row>
    <row r="7" ht="15.75" customHeight="1">
      <c r="A7" s="72" t="s">
        <v>269</v>
      </c>
      <c r="B7" s="72" t="s">
        <v>13</v>
      </c>
      <c r="C7" s="72" t="s">
        <v>18</v>
      </c>
      <c r="D7" s="72" t="s">
        <v>24</v>
      </c>
      <c r="E7" s="72" t="s">
        <v>34</v>
      </c>
      <c r="F7" s="72" t="s">
        <v>270</v>
      </c>
      <c r="G7" s="72"/>
      <c r="H7" s="72"/>
    </row>
    <row r="8" ht="18.0" customHeight="1">
      <c r="A8" s="62" t="s">
        <v>238</v>
      </c>
      <c r="B8" s="67"/>
      <c r="C8" s="67"/>
      <c r="D8" s="67"/>
      <c r="E8" s="67"/>
      <c r="F8" s="67"/>
      <c r="G8" s="2" t="s">
        <v>271</v>
      </c>
      <c r="H8" s="73"/>
    </row>
    <row r="9" ht="18.0" customHeight="1">
      <c r="A9" s="62" t="s">
        <v>239</v>
      </c>
      <c r="B9" s="67"/>
      <c r="C9" s="67"/>
      <c r="D9" s="67"/>
      <c r="E9" s="67"/>
      <c r="F9" s="67"/>
      <c r="G9" s="69" t="str">
        <f t="shared" ref="G9:G19" si="1">IFERROR(IF(F9="","",IF(F9&gt;F8,"⬆️ Subiendo",IF(F9&lt;F8,"⬇️ Bajando","➡️ Estable"))),"")</f>
        <v/>
      </c>
      <c r="H9" s="73"/>
    </row>
    <row r="10" ht="18.0" customHeight="1">
      <c r="A10" s="62" t="s">
        <v>240</v>
      </c>
      <c r="B10" s="67"/>
      <c r="C10" s="67"/>
      <c r="D10" s="67"/>
      <c r="E10" s="67"/>
      <c r="F10" s="67"/>
      <c r="G10" s="69" t="str">
        <f t="shared" si="1"/>
        <v/>
      </c>
      <c r="H10" s="73"/>
    </row>
    <row r="11" ht="18.0" customHeight="1">
      <c r="A11" s="62" t="s">
        <v>241</v>
      </c>
      <c r="B11" s="67"/>
      <c r="C11" s="67"/>
      <c r="D11" s="67"/>
      <c r="E11" s="67"/>
      <c r="F11" s="67"/>
      <c r="G11" s="69" t="str">
        <f t="shared" si="1"/>
        <v/>
      </c>
      <c r="H11" s="73"/>
    </row>
    <row r="12" ht="18.0" customHeight="1">
      <c r="A12" s="62" t="s">
        <v>242</v>
      </c>
      <c r="B12" s="67"/>
      <c r="C12" s="67"/>
      <c r="D12" s="67"/>
      <c r="E12" s="67"/>
      <c r="F12" s="67"/>
      <c r="G12" s="69" t="str">
        <f t="shared" si="1"/>
        <v/>
      </c>
      <c r="H12" s="73"/>
    </row>
    <row r="13" ht="18.0" customHeight="1">
      <c r="A13" s="62" t="s">
        <v>243</v>
      </c>
      <c r="B13" s="67"/>
      <c r="C13" s="67"/>
      <c r="D13" s="67"/>
      <c r="E13" s="67"/>
      <c r="F13" s="67"/>
      <c r="G13" s="69" t="str">
        <f t="shared" si="1"/>
        <v/>
      </c>
      <c r="H13" s="73"/>
    </row>
    <row r="14" ht="18.0" customHeight="1">
      <c r="A14" s="62" t="s">
        <v>244</v>
      </c>
      <c r="B14" s="67"/>
      <c r="C14" s="67"/>
      <c r="D14" s="67"/>
      <c r="E14" s="67"/>
      <c r="F14" s="67"/>
      <c r="G14" s="69" t="str">
        <f t="shared" si="1"/>
        <v/>
      </c>
      <c r="H14" s="73"/>
    </row>
    <row r="15" ht="18.0" customHeight="1">
      <c r="A15" s="62" t="s">
        <v>245</v>
      </c>
      <c r="B15" s="67"/>
      <c r="C15" s="67"/>
      <c r="D15" s="67"/>
      <c r="E15" s="67"/>
      <c r="F15" s="67"/>
      <c r="G15" s="69" t="str">
        <f t="shared" si="1"/>
        <v/>
      </c>
      <c r="H15" s="73"/>
    </row>
    <row r="16" ht="18.0" customHeight="1">
      <c r="A16" s="62" t="s">
        <v>246</v>
      </c>
      <c r="B16" s="67"/>
      <c r="C16" s="67"/>
      <c r="D16" s="67"/>
      <c r="E16" s="67"/>
      <c r="F16" s="67"/>
      <c r="G16" s="69" t="str">
        <f t="shared" si="1"/>
        <v/>
      </c>
      <c r="H16" s="73"/>
    </row>
    <row r="17" ht="18.0" customHeight="1">
      <c r="A17" s="62" t="s">
        <v>247</v>
      </c>
      <c r="B17" s="67"/>
      <c r="C17" s="67"/>
      <c r="D17" s="67"/>
      <c r="E17" s="67"/>
      <c r="F17" s="67"/>
      <c r="G17" s="69" t="str">
        <f t="shared" si="1"/>
        <v/>
      </c>
      <c r="H17" s="73"/>
    </row>
    <row r="18" ht="18.0" customHeight="1">
      <c r="A18" s="62" t="s">
        <v>248</v>
      </c>
      <c r="B18" s="67"/>
      <c r="C18" s="67"/>
      <c r="D18" s="67"/>
      <c r="E18" s="67"/>
      <c r="F18" s="67"/>
      <c r="G18" s="69" t="str">
        <f t="shared" si="1"/>
        <v/>
      </c>
      <c r="H18" s="73"/>
    </row>
    <row r="19" ht="18.0" customHeight="1">
      <c r="A19" s="62" t="s">
        <v>249</v>
      </c>
      <c r="B19" s="67"/>
      <c r="C19" s="67"/>
      <c r="D19" s="67"/>
      <c r="E19" s="67"/>
      <c r="F19" s="67"/>
      <c r="G19" s="69" t="str">
        <f t="shared" si="1"/>
        <v/>
      </c>
      <c r="H19" s="73"/>
    </row>
    <row r="20">
      <c r="A20" s="2"/>
      <c r="B20" s="2"/>
      <c r="C20" s="2"/>
      <c r="D20" s="2"/>
      <c r="E20" s="2"/>
      <c r="F20" s="2"/>
      <c r="G20" s="2"/>
      <c r="H20" s="2"/>
    </row>
    <row r="21" ht="15.75" customHeight="1">
      <c r="A21" s="2"/>
      <c r="B21" s="2"/>
      <c r="C21" s="2"/>
      <c r="D21" s="2"/>
      <c r="E21" s="2"/>
      <c r="F21" s="2"/>
      <c r="G21" s="2"/>
      <c r="H21" s="2"/>
    </row>
    <row r="22" ht="19.5" customHeight="1">
      <c r="A22" s="63" t="s">
        <v>272</v>
      </c>
      <c r="B22" s="10"/>
      <c r="C22" s="10"/>
      <c r="D22" s="10"/>
      <c r="E22" s="10"/>
      <c r="F22" s="10"/>
      <c r="G22" s="10"/>
      <c r="H22" s="36"/>
    </row>
    <row r="23" ht="19.5" customHeight="1">
      <c r="A23" s="64" t="s">
        <v>273</v>
      </c>
    </row>
    <row r="24">
      <c r="A24" s="70" t="s">
        <v>274</v>
      </c>
      <c r="B24" s="71" t="str">
        <f>IFERROR(AVERAGE(B8:B19),"")</f>
        <v/>
      </c>
      <c r="C24" s="36"/>
      <c r="D24" s="2"/>
      <c r="E24" s="2"/>
      <c r="F24" s="2"/>
      <c r="G24" s="2"/>
      <c r="H24" s="2"/>
    </row>
    <row r="25">
      <c r="A25" s="70" t="s">
        <v>275</v>
      </c>
      <c r="B25" s="71" t="str">
        <f>IFERROR(AVERAGE(C8:C19),"")</f>
        <v/>
      </c>
      <c r="C25" s="36"/>
      <c r="D25" s="2"/>
      <c r="E25" s="2"/>
      <c r="F25" s="2"/>
      <c r="G25" s="2"/>
      <c r="H25" s="2"/>
    </row>
    <row r="26">
      <c r="A26" s="70" t="s">
        <v>276</v>
      </c>
      <c r="B26" s="71" t="str">
        <f>IFERROR(AVERAGE(D8:D19),"")</f>
        <v/>
      </c>
      <c r="C26" s="36"/>
      <c r="D26" s="2"/>
      <c r="E26" s="2"/>
      <c r="F26" s="2"/>
      <c r="G26" s="2"/>
      <c r="H26" s="2"/>
    </row>
    <row r="27">
      <c r="A27" s="70" t="s">
        <v>277</v>
      </c>
      <c r="B27" s="71" t="str">
        <f>IFERROR(AVERAGE(E8:E19),"")</f>
        <v/>
      </c>
      <c r="C27" s="36"/>
      <c r="D27" s="2"/>
      <c r="E27" s="2"/>
      <c r="F27" s="2"/>
      <c r="G27" s="2"/>
      <c r="H27" s="2"/>
    </row>
    <row r="28">
      <c r="A28" s="70" t="s">
        <v>278</v>
      </c>
      <c r="B28" s="71" t="str">
        <f>IFERROR(AVERAGE(F8:F19),"")</f>
        <v/>
      </c>
      <c r="C28" s="36"/>
      <c r="D28" s="2"/>
      <c r="E28" s="2"/>
      <c r="F28" s="2"/>
      <c r="G28" s="2"/>
      <c r="H28" s="2"/>
    </row>
    <row r="29">
      <c r="A29" s="70" t="s">
        <v>279</v>
      </c>
      <c r="B29" s="71">
        <f>IFERROR(COUNTIF(G8:G19,"*Subiendo*"),"")</f>
        <v>0</v>
      </c>
      <c r="C29" s="36"/>
      <c r="D29" s="2"/>
      <c r="E29" s="2"/>
      <c r="F29" s="2"/>
      <c r="G29" s="2"/>
      <c r="H29" s="2"/>
    </row>
    <row r="30">
      <c r="A30" s="70" t="s">
        <v>280</v>
      </c>
      <c r="B30" s="71">
        <f>IFERROR(COUNTIF(G8:G19,"*Bajando*"),"")</f>
        <v>0</v>
      </c>
      <c r="C30" s="36"/>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9.5" customHeight="1">
      <c r="A33" s="63" t="s">
        <v>281</v>
      </c>
      <c r="B33" s="10"/>
      <c r="C33" s="10"/>
      <c r="D33" s="10"/>
      <c r="E33" s="10"/>
      <c r="F33" s="10"/>
      <c r="G33" s="10"/>
      <c r="H33" s="36"/>
    </row>
    <row r="34" ht="19.5" customHeight="1">
      <c r="A34" s="74" t="s">
        <v>282</v>
      </c>
      <c r="B34" s="75" t="s">
        <v>283</v>
      </c>
      <c r="C34" s="10"/>
      <c r="D34" s="10"/>
      <c r="E34" s="10"/>
      <c r="F34" s="10"/>
      <c r="G34" s="10"/>
      <c r="H34" s="10"/>
    </row>
    <row r="35" ht="19.5" customHeight="1">
      <c r="A35" s="74" t="s">
        <v>284</v>
      </c>
      <c r="B35" s="75" t="s">
        <v>285</v>
      </c>
      <c r="C35" s="10"/>
      <c r="D35" s="10"/>
      <c r="E35" s="10"/>
      <c r="F35" s="10"/>
      <c r="G35" s="10"/>
      <c r="H35" s="10"/>
    </row>
    <row r="36" ht="19.5" customHeight="1">
      <c r="A36" s="74" t="s">
        <v>286</v>
      </c>
      <c r="B36" s="75" t="s">
        <v>287</v>
      </c>
      <c r="C36" s="10"/>
      <c r="D36" s="10"/>
      <c r="E36" s="10"/>
      <c r="F36" s="10"/>
      <c r="G36" s="10"/>
      <c r="H36" s="10"/>
    </row>
    <row r="37" ht="19.5" customHeight="1">
      <c r="A37" s="74" t="s">
        <v>288</v>
      </c>
      <c r="B37" s="75" t="s">
        <v>289</v>
      </c>
      <c r="C37" s="10"/>
      <c r="D37" s="10"/>
      <c r="E37" s="10"/>
      <c r="F37" s="10"/>
      <c r="G37" s="10"/>
      <c r="H37" s="10"/>
    </row>
    <row r="38" ht="19.5" customHeight="1">
      <c r="A38" s="74" t="s">
        <v>290</v>
      </c>
      <c r="B38" s="75" t="s">
        <v>291</v>
      </c>
      <c r="C38" s="10"/>
      <c r="D38" s="10"/>
      <c r="E38" s="10"/>
      <c r="F38" s="10"/>
      <c r="G38" s="10"/>
      <c r="H38" s="10"/>
    </row>
    <row r="39" ht="19.5" customHeight="1">
      <c r="A39" s="74" t="s">
        <v>292</v>
      </c>
      <c r="B39" s="75" t="s">
        <v>293</v>
      </c>
      <c r="C39" s="10"/>
      <c r="D39" s="10"/>
      <c r="E39" s="10"/>
      <c r="F39" s="10"/>
      <c r="G39" s="10"/>
      <c r="H39" s="10"/>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20">
    <mergeCell ref="A1:H1"/>
    <mergeCell ref="A2:H2"/>
    <mergeCell ref="A4:H4"/>
    <mergeCell ref="A5:H5"/>
    <mergeCell ref="A22:H22"/>
    <mergeCell ref="A23:H23"/>
    <mergeCell ref="B24:C24"/>
    <mergeCell ref="B34:H34"/>
    <mergeCell ref="B35:H35"/>
    <mergeCell ref="B36:H36"/>
    <mergeCell ref="B37:H37"/>
    <mergeCell ref="B38:H38"/>
    <mergeCell ref="B39:H39"/>
    <mergeCell ref="B25:C25"/>
    <mergeCell ref="B26:C26"/>
    <mergeCell ref="B27:C27"/>
    <mergeCell ref="B28:C28"/>
    <mergeCell ref="B29:C29"/>
    <mergeCell ref="B30:C30"/>
    <mergeCell ref="A33:H33"/>
  </mergeCells>
  <printOptions/>
  <pageMargins bottom="1.0" footer="0.0" header="0.0" left="0.75" right="0.75" top="1.0"/>
  <pageSetup paperSize="9" orientation="portrait"/>
  <drawing r:id="rId1"/>
</worksheet>
</file>
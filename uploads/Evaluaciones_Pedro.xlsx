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PLANTILLA" sheetId="2" r:id="rId6"/>
  </sheets>
  <definedNames/>
  <calcPr/>
</workbook>
</file>

<file path=xl/sharedStrings.xml><?xml version="1.0" encoding="utf-8"?>
<sst xmlns="http://schemas.openxmlformats.org/spreadsheetml/2006/main" count="110" uniqueCount="96">
  <si>
    <t>ARCHIVO DE EVALUACIONES · PEDRO</t>
  </si>
  <si>
    <t>ATC PRAIA HOTEL · Muestreo Aleatorio · Estándares COPC</t>
  </si>
  <si>
    <t>CÓMO USAR ESTE ARCHIVO</t>
  </si>
  <si>
    <t>PASO 1 · Abrir</t>
  </si>
  <si>
    <t>Cuando vayas a auditar una conversación de Pedro, abre este archivo.</t>
  </si>
  <si>
    <t>PASO 2 · Duplicar</t>
  </si>
  <si>
    <t>Clic derecho en hoja 'PLANTILLA' → Mover o Copiar → ✅ Crear copia. Renombra con la fecha: DD-MM-AAAA.</t>
  </si>
  <si>
    <t>PASO 3 · Llenar</t>
  </si>
  <si>
    <t>Completa los campos en amarillo. FRT, ART, Calidad y bloque Resumen se calculan automáticamente (verde).</t>
  </si>
  <si>
    <t>PASO 4 · Vaciar</t>
  </si>
  <si>
    <t>Al finalizar: abre Control_KPI_ATC_PRAIA.xlsx → hoja 'Vaciado de Evaluaciones'. Copia los 8 valores verdes del bloque Resumen a la siguiente fila disponible. &lt; 30 segundos.</t>
  </si>
  <si>
    <t>PASO 5 · Guardar</t>
  </si>
  <si>
    <t>Guarda el archivo. El historial completo de Pedro queda aquí organizado por hojas/fecha.</t>
  </si>
  <si>
    <t>FRECUENCIA</t>
  </si>
  <si>
    <t>Sin frecuencia fija. Muestreo aleatorio cuando tengas tiempo. Mínimo 2-3 evaluaciones por agente por mes.</t>
  </si>
  <si>
    <t>NOMBRES DE HOJAS</t>
  </si>
  <si>
    <t>Usa formato DD-MM-AAAA para orden cronológico. Ej: 01-06-2026, 15-06-2026, 28-06-2026.</t>
  </si>
  <si>
    <t>EVALUACIÓN DE CONVERSACIÓN · PEDRO</t>
  </si>
  <si>
    <t>Duplicar esta hoja por cada auditoría · Renombrar con fecha DD-MM-AAAA</t>
  </si>
  <si>
    <t>▶  RESUMEN — Copiar esta fila completa al Vaciado de Evaluaciones</t>
  </si>
  <si>
    <t>Fecha</t>
  </si>
  <si>
    <t>Agente</t>
  </si>
  <si>
    <t>FRT (min)</t>
  </si>
  <si>
    <t>ART (min)</t>
  </si>
  <si>
    <t>FCR</t>
  </si>
  <si>
    <t>Calidad /4</t>
  </si>
  <si>
    <t>Escalación</t>
  </si>
  <si>
    <t>Resultado</t>
  </si>
  <si>
    <t>Pedro</t>
  </si>
  <si>
    <t>1. INFORMACIÓN GENERAL</t>
  </si>
  <si>
    <t>Fecha de Auditoría</t>
  </si>
  <si>
    <t>DD/MM/AAAA</t>
  </si>
  <si>
    <t>Plataforma</t>
  </si>
  <si>
    <t>Guesty / WhatsApp</t>
  </si>
  <si>
    <t>Booking ID / Huésped</t>
  </si>
  <si>
    <t>Nombre o número de reserva</t>
  </si>
  <si>
    <t>Fecha de Conversación</t>
  </si>
  <si>
    <t>Estado Final</t>
  </si>
  <si>
    <t>Resuelto / Escalado / Pendiente</t>
  </si>
  <si>
    <t>2. TIEMPOS DE RESPUESTA  (FRT / ART)</t>
  </si>
  <si>
    <t>Anota todos los mensajes con su hora exacta. Guesty y WhatsApp muestran el timestamp de cada mensaje.</t>
  </si>
  <si>
    <t># Msg</t>
  </si>
  <si>
    <t>Hora (HH:MM)</t>
  </si>
  <si>
    <t>Origen</t>
  </si>
  <si>
    <t>Intervalo (min)</t>
  </si>
  <si>
    <t>1</t>
  </si>
  <si>
    <t>Huésped / Agente</t>
  </si>
  <si>
    <t>—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</si>
  <si>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</si>
  <si>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</si>
  <si>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</si>
  <si>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</si>
  <si>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</si>
  <si>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</si>
  <si>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</si>
  <si>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</si>
  <si>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</si>
  <si>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CÁLCULOS AUTOMÁTICOS</t>
  </si>
  <si>
    <t>FRT · Tiempo Primera Respuesta</t>
  </si>
  <si>
    <t>min · Target COPC: &lt; 5</t>
  </si>
  <si>
    <t>ART · Tiempo Promedio de Respuesta</t>
  </si>
  <si>
    <t>min · Target COPC: &lt; 10</t>
  </si>
  <si>
    <t>3. RESOLUCIÓN EN PRIMER CONTACTO (FCR)</t>
  </si>
  <si>
    <t>Problema / Solicitud Inicial</t>
  </si>
  <si>
    <t>Describe brevemente qué pedía el huésped</t>
  </si>
  <si>
    <t>¿Fue Escalado?</t>
  </si>
  <si>
    <t>¿Huésped Indicó Satisfacción?</t>
  </si>
  <si>
    <t>¿Caso Reabrió en 24h?</t>
  </si>
  <si>
    <t>RESULTADO FCR</t>
  </si>
  <si>
    <t>4. CALIDAD  (1=Deficiente · 2=Aceptable · 3=Bueno · 4=Excelente)</t>
  </si>
  <si>
    <t>Relevancia</t>
  </si>
  <si>
    <t>Abordó directamente la solicitud del huésped</t>
  </si>
  <si>
    <t>(1-4)</t>
  </si>
  <si>
    <t>Completitud</t>
  </si>
  <si>
    <t>Respuesta completa, sin dejar dudas</t>
  </si>
  <si>
    <t>Cortesía y Tono</t>
  </si>
  <si>
    <t>Profesional, amable y apropiado</t>
  </si>
  <si>
    <t>Precisión</t>
  </si>
  <si>
    <t>Información correcta y sin errores</t>
  </si>
  <si>
    <t>Claridad</t>
  </si>
  <si>
    <t>Fácil de entender y bien estructurada</t>
  </si>
  <si>
    <t>CALIDAD PROMEDIO</t>
  </si>
  <si>
    <t>≥ 3.5 = Buen estándar</t>
  </si>
  <si>
    <t>5. ESCALACIÓN</t>
  </si>
  <si>
    <t>¿Se Escaló Este Caso?</t>
  </si>
  <si>
    <t>Motivo de Escalación</t>
  </si>
  <si>
    <t>Solo si aplicó</t>
  </si>
  <si>
    <t>A Quién se Escaló</t>
  </si>
  <si>
    <t>Mauricio / Alejandro / Otro</t>
  </si>
  <si>
    <t>¿Escalación Apropiada?</t>
  </si>
  <si>
    <t>SÍ = Justificada / NO = Podía resolverse</t>
  </si>
  <si>
    <t>6. RESUMEN FINAL</t>
  </si>
  <si>
    <t>Resultado General</t>
  </si>
  <si>
    <t>Fortalezas</t>
  </si>
  <si>
    <t>Áreas de Mejora</t>
  </si>
  <si>
    <t>Acciones Recomendadas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</si>
</sst>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AAAA"/>
    <numFmt numFmtId="165" formatCode="0.0"/>
  </numFmts>
  <fonts count="16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666666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3.0"/>
      <color rgb="FFFFFFFF"/>
      <name val="Arial"/>
    </font>
    <font>
      <b/>
      <color rgb="FFFFFFFF"/>
      <name val="Arial"/>
    </font>
    <font>
      <b/>
      <sz val="9.0"/>
      <color rgb="FFFFFFFF"/>
      <name val="Arial"/>
    </font>
    <font>
      <b/>
      <sz val="9.0"/>
      <color rgb="FF008000"/>
      <name val="Arial"/>
    </font>
    <font>
      <sz val="11.0"/>
      <color theme="1"/>
      <name val="Calibri"/>
    </font>
    <font>
      <i/>
      <sz val="9.0"/>
      <color rgb="FF888888"/>
      <name val="Arial"/>
    </font>
    <font>
      <i/>
      <sz val="9.0"/>
      <color rgb="FF555555"/>
      <name val="Arial"/>
    </font>
    <font>
      <b/>
      <color rgb="FF008000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203864"/>
        <bgColor rgb="FF203864"/>
      </patternFill>
    </fill>
  </fills>
  <borders count="12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3" fillId="3" fontId="4" numFmtId="0" xfId="0" applyAlignment="1" applyBorder="1" applyFill="1" applyFont="1">
      <alignment horizontal="left" shrinkToFit="0" vertical="center" wrapText="0"/>
    </xf>
    <xf borderId="4" fillId="0" fontId="2" numFmtId="0" xfId="0" applyBorder="1" applyFont="1"/>
    <xf borderId="5" fillId="4" fontId="5" numFmtId="0" xfId="0" applyAlignment="1" applyBorder="1" applyFill="1" applyFont="1">
      <alignment horizontal="left" shrinkToFit="0" vertical="top" wrapText="1"/>
    </xf>
    <xf borderId="5" fillId="0" fontId="6" numFmtId="0" xfId="0" applyAlignment="1" applyBorder="1" applyFont="1">
      <alignment horizontal="left" shrinkToFit="0" vertical="top" wrapText="1"/>
    </xf>
    <xf borderId="1" fillId="2" fontId="7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5" fontId="8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5" fillId="5" fontId="9" numFmtId="0" xfId="0" applyAlignment="1" applyBorder="1" applyFont="1">
      <alignment horizontal="center" shrinkToFit="0" wrapText="1"/>
    </xf>
    <xf borderId="10" fillId="6" fontId="10" numFmtId="164" xfId="0" applyAlignment="1" applyBorder="1" applyFill="1" applyFont="1" applyNumberFormat="1">
      <alignment horizontal="center"/>
    </xf>
    <xf borderId="10" fillId="6" fontId="10" numFmtId="0" xfId="0" applyAlignment="1" applyBorder="1" applyFont="1">
      <alignment horizontal="center" readingOrder="0"/>
    </xf>
    <xf borderId="10" fillId="6" fontId="11" numFmtId="1" xfId="0" applyBorder="1" applyFont="1" applyNumberFormat="1"/>
    <xf borderId="10" fillId="6" fontId="10" numFmtId="165" xfId="0" applyAlignment="1" applyBorder="1" applyFont="1" applyNumberFormat="1">
      <alignment horizontal="center"/>
    </xf>
    <xf borderId="10" fillId="6" fontId="11" numFmtId="0" xfId="0" applyBorder="1" applyFont="1"/>
    <xf borderId="10" fillId="6" fontId="11" numFmtId="165" xfId="0" applyBorder="1" applyFont="1" applyNumberFormat="1"/>
    <xf borderId="0" fillId="0" fontId="11" numFmtId="0" xfId="0" applyAlignment="1" applyFont="1">
      <alignment vertical="bottom"/>
    </xf>
    <xf borderId="3" fillId="3" fontId="8" numFmtId="0" xfId="0" applyBorder="1" applyFont="1"/>
    <xf borderId="11" fillId="0" fontId="2" numFmtId="0" xfId="0" applyBorder="1" applyFont="1"/>
    <xf borderId="5" fillId="4" fontId="5" numFmtId="0" xfId="0" applyAlignment="1" applyBorder="1" applyFont="1">
      <alignment shrinkToFit="0" wrapText="1"/>
    </xf>
    <xf borderId="3" fillId="7" fontId="12" numFmtId="0" xfId="0" applyAlignment="1" applyBorder="1" applyFill="1" applyFont="1">
      <alignment shrinkToFit="0" wrapText="1"/>
    </xf>
    <xf borderId="0" fillId="0" fontId="13" numFmtId="0" xfId="0" applyAlignment="1" applyFont="1">
      <alignment vertical="bottom"/>
    </xf>
    <xf borderId="5" fillId="8" fontId="9" numFmtId="0" xfId="0" applyAlignment="1" applyBorder="1" applyFill="1" applyFont="1">
      <alignment horizontal="center"/>
    </xf>
    <xf borderId="5" fillId="8" fontId="11" numFmtId="0" xfId="0" applyBorder="1" applyFont="1"/>
    <xf borderId="5" fillId="4" fontId="11" numFmtId="0" xfId="0" applyAlignment="1" applyBorder="1" applyFont="1">
      <alignment horizontal="center"/>
    </xf>
    <xf borderId="3" fillId="7" fontId="11" numFmtId="0" xfId="0" applyBorder="1" applyFont="1"/>
    <xf borderId="3" fillId="7" fontId="12" numFmtId="0" xfId="0" applyAlignment="1" applyBorder="1" applyFont="1">
      <alignment horizontal="center"/>
    </xf>
    <xf borderId="3" fillId="6" fontId="10" numFmtId="0" xfId="0" applyAlignment="1" applyBorder="1" applyFont="1">
      <alignment horizontal="center"/>
    </xf>
    <xf borderId="3" fillId="6" fontId="11" numFmtId="1" xfId="0" applyBorder="1" applyFont="1" applyNumberFormat="1"/>
    <xf borderId="3" fillId="8" fontId="9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6" fontId="11" numFmtId="0" xfId="0" applyBorder="1" applyFont="1"/>
    <xf borderId="3" fillId="6" fontId="14" numFmtId="165" xfId="0" applyAlignment="1" applyBorder="1" applyFont="1" applyNumberFormat="1">
      <alignment horizontal="center"/>
    </xf>
    <xf borderId="3" fillId="6" fontId="5" numFmtId="0" xfId="0" applyAlignment="1" applyBorder="1" applyFont="1">
      <alignment horizontal="center"/>
    </xf>
    <xf borderId="3" fillId="0" fontId="6" numFmtId="0" xfId="0" applyAlignment="1" applyBorder="1" applyFont="1">
      <alignment shrinkToFit="0" wrapText="1"/>
    </xf>
    <xf borderId="5" fillId="4" fontId="15" numFmtId="0" xfId="0" applyAlignment="1" applyBorder="1" applyFont="1">
      <alignment vertical="bottom"/>
    </xf>
    <xf borderId="3" fillId="6" fontId="11" numFmtId="165" xfId="0" applyBorder="1" applyFont="1" applyNumberFormat="1"/>
    <xf borderId="3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8.0"/>
    <col customWidth="1" min="3" max="26" width="8.71"/>
  </cols>
  <sheetData>
    <row r="1" ht="27.75" customHeight="1">
      <c r="A1" s="1" t="s">
        <v>0</v>
      </c>
      <c r="B1" s="2"/>
    </row>
    <row r="2">
      <c r="A2" s="3" t="s">
        <v>1</v>
      </c>
    </row>
    <row r="4" ht="19.5" customHeight="1">
      <c r="A4" s="4" t="s">
        <v>2</v>
      </c>
      <c r="B4" s="5"/>
    </row>
    <row r="5" ht="30.0" customHeight="1">
      <c r="A5" s="6" t="s">
        <v>3</v>
      </c>
      <c r="B5" s="7" t="s">
        <v>4</v>
      </c>
    </row>
    <row r="6" ht="30.0" customHeight="1">
      <c r="A6" s="6" t="s">
        <v>5</v>
      </c>
      <c r="B6" s="7" t="s">
        <v>6</v>
      </c>
    </row>
    <row r="7" ht="30.0" customHeight="1">
      <c r="A7" s="6" t="s">
        <v>7</v>
      </c>
      <c r="B7" s="7" t="s">
        <v>8</v>
      </c>
    </row>
    <row r="8" ht="30.0" customHeight="1">
      <c r="A8" s="6" t="s">
        <v>9</v>
      </c>
      <c r="B8" s="7" t="s">
        <v>10</v>
      </c>
    </row>
    <row r="9" ht="30.0" customHeight="1">
      <c r="A9" s="6" t="s">
        <v>11</v>
      </c>
      <c r="B9" s="7" t="s">
        <v>12</v>
      </c>
    </row>
    <row r="10" ht="30.0" customHeight="1">
      <c r="A10" s="6" t="s">
        <v>13</v>
      </c>
      <c r="B10" s="7" t="s">
        <v>14</v>
      </c>
    </row>
    <row r="11" ht="30.0" customHeight="1">
      <c r="A11" s="6" t="s">
        <v>15</v>
      </c>
      <c r="B11" s="7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4:B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7" width="13.0"/>
    <col customWidth="1" min="8" max="8" width="9.43"/>
    <col customWidth="1" min="9" max="26" width="8.71"/>
  </cols>
  <sheetData>
    <row r="1" ht="25.5" customHeight="1">
      <c r="A1" s="8" t="s">
        <v>17</v>
      </c>
      <c r="B1" s="9"/>
      <c r="C1" s="9"/>
      <c r="D1" s="9"/>
      <c r="E1" s="9"/>
      <c r="F1" s="9"/>
      <c r="G1" s="9"/>
      <c r="H1" s="2"/>
    </row>
    <row r="2">
      <c r="A2" s="3" t="s">
        <v>18</v>
      </c>
    </row>
    <row r="4" ht="19.5" customHeight="1">
      <c r="A4" s="10" t="s">
        <v>19</v>
      </c>
      <c r="B4" s="11"/>
      <c r="C4" s="11"/>
      <c r="D4" s="11"/>
      <c r="E4" s="11"/>
      <c r="F4" s="11"/>
      <c r="G4" s="11"/>
      <c r="H4" s="12"/>
    </row>
    <row r="5" ht="18.0" customHeight="1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</row>
    <row r="6" ht="21.75" customHeight="1">
      <c r="A6" s="14" t="str">
        <f>B9</f>
        <v>DD/MM/AAAA</v>
      </c>
      <c r="B6" s="15" t="s">
        <v>28</v>
      </c>
      <c r="C6" s="16" t="str">
        <f>B30</f>
        <v/>
      </c>
      <c r="D6" s="17" t="str">
        <f>B31</f>
        <v>—</v>
      </c>
      <c r="E6" s="18" t="str">
        <f>B38</f>
        <v/>
      </c>
      <c r="F6" s="19" t="str">
        <f>G46</f>
        <v/>
      </c>
      <c r="G6" s="18" t="str">
        <f>B49</f>
        <v/>
      </c>
      <c r="H6" s="18" t="str">
        <f>B55</f>
        <v/>
      </c>
    </row>
    <row r="7">
      <c r="A7" s="20"/>
      <c r="B7" s="20"/>
      <c r="C7" s="20"/>
      <c r="D7" s="20"/>
      <c r="E7" s="20"/>
      <c r="F7" s="20"/>
      <c r="G7" s="20"/>
      <c r="H7" s="20"/>
    </row>
    <row r="8">
      <c r="A8" s="21" t="s">
        <v>29</v>
      </c>
      <c r="B8" s="22"/>
      <c r="C8" s="22"/>
      <c r="D8" s="22"/>
      <c r="E8" s="22"/>
      <c r="F8" s="22"/>
      <c r="G8" s="22"/>
      <c r="H8" s="5"/>
    </row>
    <row r="9">
      <c r="A9" s="23" t="s">
        <v>30</v>
      </c>
      <c r="B9" s="24" t="s">
        <v>31</v>
      </c>
      <c r="C9" s="22"/>
      <c r="D9" s="22"/>
      <c r="E9" s="22"/>
      <c r="F9" s="22"/>
      <c r="G9" s="22"/>
      <c r="H9" s="5"/>
    </row>
    <row r="10">
      <c r="A10" s="23" t="s">
        <v>32</v>
      </c>
      <c r="B10" s="24" t="s">
        <v>33</v>
      </c>
      <c r="C10" s="22"/>
      <c r="D10" s="22"/>
      <c r="E10" s="22"/>
      <c r="F10" s="22"/>
      <c r="G10" s="22"/>
      <c r="H10" s="5"/>
    </row>
    <row r="11">
      <c r="A11" s="23" t="s">
        <v>34</v>
      </c>
      <c r="B11" s="24" t="s">
        <v>35</v>
      </c>
      <c r="C11" s="22"/>
      <c r="D11" s="22"/>
      <c r="E11" s="22"/>
      <c r="F11" s="22"/>
      <c r="G11" s="22"/>
      <c r="H11" s="5"/>
    </row>
    <row r="12">
      <c r="A12" s="23" t="s">
        <v>36</v>
      </c>
      <c r="B12" s="24" t="s">
        <v>31</v>
      </c>
      <c r="C12" s="22"/>
      <c r="D12" s="22"/>
      <c r="E12" s="22"/>
      <c r="F12" s="22"/>
      <c r="G12" s="22"/>
      <c r="H12" s="5"/>
    </row>
    <row r="13">
      <c r="A13" s="23" t="s">
        <v>37</v>
      </c>
      <c r="B13" s="24" t="s">
        <v>38</v>
      </c>
      <c r="C13" s="22"/>
      <c r="D13" s="22"/>
      <c r="E13" s="22"/>
      <c r="F13" s="22"/>
      <c r="G13" s="22"/>
      <c r="H13" s="5"/>
    </row>
    <row r="14">
      <c r="A14" s="20"/>
      <c r="B14" s="20"/>
      <c r="C14" s="20"/>
      <c r="D14" s="20"/>
      <c r="E14" s="20"/>
      <c r="F14" s="20"/>
      <c r="G14" s="20"/>
      <c r="H14" s="20"/>
    </row>
    <row r="15">
      <c r="A15" s="21" t="s">
        <v>39</v>
      </c>
      <c r="B15" s="22"/>
      <c r="C15" s="22"/>
      <c r="D15" s="22"/>
      <c r="E15" s="22"/>
      <c r="F15" s="22"/>
      <c r="G15" s="22"/>
      <c r="H15" s="5"/>
    </row>
    <row r="16">
      <c r="A16" s="25" t="s">
        <v>40</v>
      </c>
    </row>
    <row r="17">
      <c r="A17" s="26" t="s">
        <v>41</v>
      </c>
      <c r="B17" s="26" t="s">
        <v>42</v>
      </c>
      <c r="C17" s="26" t="s">
        <v>43</v>
      </c>
      <c r="D17" s="27"/>
      <c r="E17" s="26" t="s">
        <v>44</v>
      </c>
      <c r="F17" s="27"/>
      <c r="G17" s="27"/>
      <c r="H17" s="27"/>
    </row>
    <row r="18">
      <c r="A18" s="28" t="s">
        <v>45</v>
      </c>
      <c r="B18" s="29"/>
      <c r="C18" s="5"/>
      <c r="D18" s="30" t="s">
        <v>46</v>
      </c>
      <c r="E18" s="22"/>
      <c r="F18" s="5"/>
      <c r="G18" s="31" t="s">
        <v>47</v>
      </c>
      <c r="H18" s="5"/>
    </row>
    <row r="19">
      <c r="A19" s="28" t="s">
        <v>48</v>
      </c>
      <c r="B19" s="29"/>
      <c r="C19" s="5"/>
      <c r="D19" s="30" t="s">
        <v>46</v>
      </c>
      <c r="E19" s="22"/>
      <c r="F19" s="5"/>
      <c r="G19" s="32" t="str">
        <f t="shared" ref="G19:G27" si="1">IFERROR(IF(AND(B19&lt;&gt;"",B18&lt;&gt;""),(HOUR(B19)*60+MINUTE(B19))-(HOUR(B18)*60+MINUTE(B18)),""),"—")</f>
        <v/>
      </c>
      <c r="H19" s="5"/>
    </row>
    <row r="20">
      <c r="A20" s="28" t="s">
        <v>49</v>
      </c>
      <c r="B20" s="29"/>
      <c r="C20" s="5"/>
      <c r="D20" s="30" t="s">
        <v>46</v>
      </c>
      <c r="E20" s="22"/>
      <c r="F20" s="5"/>
      <c r="G20" s="32" t="str">
        <f t="shared" si="1"/>
        <v/>
      </c>
      <c r="H20" s="5"/>
    </row>
    <row r="21">
      <c r="A21" s="28" t="s">
        <v>50</v>
      </c>
      <c r="B21" s="29"/>
      <c r="C21" s="5"/>
      <c r="D21" s="30" t="s">
        <v>46</v>
      </c>
      <c r="E21" s="22"/>
      <c r="F21" s="5"/>
      <c r="G21" s="32" t="str">
        <f t="shared" si="1"/>
        <v/>
      </c>
      <c r="H21" s="5"/>
    </row>
    <row r="22">
      <c r="A22" s="28" t="s">
        <v>51</v>
      </c>
      <c r="B22" s="29"/>
      <c r="C22" s="5"/>
      <c r="D22" s="30" t="s">
        <v>46</v>
      </c>
      <c r="E22" s="22"/>
      <c r="F22" s="5"/>
      <c r="G22" s="32" t="str">
        <f t="shared" si="1"/>
        <v/>
      </c>
      <c r="H22" s="5"/>
    </row>
    <row r="23">
      <c r="A23" s="28" t="s">
        <v>52</v>
      </c>
      <c r="B23" s="29"/>
      <c r="C23" s="5"/>
      <c r="D23" s="30" t="s">
        <v>46</v>
      </c>
      <c r="E23" s="22"/>
      <c r="F23" s="5"/>
      <c r="G23" s="32" t="str">
        <f t="shared" si="1"/>
        <v/>
      </c>
      <c r="H23" s="5"/>
    </row>
    <row r="24">
      <c r="A24" s="28" t="s">
        <v>53</v>
      </c>
      <c r="B24" s="29"/>
      <c r="C24" s="5"/>
      <c r="D24" s="30" t="s">
        <v>46</v>
      </c>
      <c r="E24" s="22"/>
      <c r="F24" s="5"/>
      <c r="G24" s="32" t="str">
        <f t="shared" si="1"/>
        <v/>
      </c>
      <c r="H24" s="5"/>
    </row>
    <row r="25">
      <c r="A25" s="28" t="s">
        <v>54</v>
      </c>
      <c r="B25" s="29"/>
      <c r="C25" s="5"/>
      <c r="D25" s="30" t="s">
        <v>46</v>
      </c>
      <c r="E25" s="22"/>
      <c r="F25" s="5"/>
      <c r="G25" s="32" t="str">
        <f t="shared" si="1"/>
        <v/>
      </c>
      <c r="H25" s="5"/>
    </row>
    <row r="26">
      <c r="A26" s="28" t="s">
        <v>55</v>
      </c>
      <c r="B26" s="29"/>
      <c r="C26" s="5"/>
      <c r="D26" s="30" t="s">
        <v>46</v>
      </c>
      <c r="E26" s="22"/>
      <c r="F26" s="5"/>
      <c r="G26" s="32" t="str">
        <f t="shared" si="1"/>
        <v/>
      </c>
      <c r="H26" s="5"/>
    </row>
    <row r="27">
      <c r="A27" s="28" t="s">
        <v>56</v>
      </c>
      <c r="B27" s="29"/>
      <c r="C27" s="5"/>
      <c r="D27" s="30" t="s">
        <v>46</v>
      </c>
      <c r="E27" s="22"/>
      <c r="F27" s="5"/>
      <c r="G27" s="32" t="str">
        <f t="shared" si="1"/>
        <v/>
      </c>
      <c r="H27" s="5"/>
    </row>
    <row r="28">
      <c r="A28" s="20"/>
      <c r="B28" s="20"/>
      <c r="C28" s="20"/>
      <c r="D28" s="20"/>
      <c r="E28" s="20"/>
      <c r="F28" s="20"/>
      <c r="G28" s="20"/>
      <c r="H28" s="20"/>
    </row>
    <row r="29">
      <c r="A29" s="33" t="s">
        <v>57</v>
      </c>
      <c r="B29" s="22"/>
      <c r="C29" s="22"/>
      <c r="D29" s="22"/>
      <c r="E29" s="22"/>
      <c r="F29" s="22"/>
      <c r="G29" s="22"/>
      <c r="H29" s="5"/>
    </row>
    <row r="30">
      <c r="A30" s="34" t="s">
        <v>58</v>
      </c>
      <c r="B30" s="32" t="str">
        <f>IFERROR(IF(AND(B18&lt;&gt;"",B19&lt;&gt;""),(HOUR(B19)*60+MINUTE(B19))-(HOUR(B18)*60+MINUTE(B18)),""),"—")</f>
        <v/>
      </c>
      <c r="C30" s="5"/>
      <c r="D30" s="35" t="s">
        <v>59</v>
      </c>
      <c r="E30" s="22"/>
      <c r="F30" s="36" t="str">
        <f>IFERROR(IF(B30="","",IF(B30&lt;5,"✅ CUMPLE (&lt; 5 min)","❌ NO CUMPLE (≥ 5 min)")),"—")</f>
        <v/>
      </c>
      <c r="G30" s="22"/>
      <c r="H30" s="5"/>
    </row>
    <row r="31">
      <c r="A31" s="34" t="s">
        <v>60</v>
      </c>
      <c r="B31" s="37" t="str">
        <f>IFERROR(AVERAGEIF(G19:G27,"&gt;0"),"—")</f>
        <v>—</v>
      </c>
      <c r="C31" s="5"/>
      <c r="D31" s="35" t="s">
        <v>61</v>
      </c>
      <c r="E31" s="22"/>
      <c r="F31" s="38" t="str">
        <f>IFERROR(IF(B31="","",IF(B31&lt;10,"✅ CUMPLE (&lt; 10 min)","❌ NO CUMPLE (≥ 10 min)")),"—")</f>
        <v>❌ NO CUMPLE (≥ 10 min)</v>
      </c>
      <c r="G31" s="22"/>
      <c r="H31" s="5"/>
    </row>
    <row r="32">
      <c r="A32" s="20"/>
      <c r="B32" s="20"/>
      <c r="C32" s="20"/>
      <c r="D32" s="20"/>
      <c r="E32" s="20"/>
      <c r="F32" s="20"/>
      <c r="G32" s="20"/>
      <c r="H32" s="20"/>
    </row>
    <row r="33">
      <c r="A33" s="21" t="s">
        <v>62</v>
      </c>
      <c r="B33" s="22"/>
      <c r="C33" s="22"/>
      <c r="D33" s="22"/>
      <c r="E33" s="22"/>
      <c r="F33" s="22"/>
      <c r="G33" s="22"/>
      <c r="H33" s="5"/>
    </row>
    <row r="34">
      <c r="A34" s="23" t="s">
        <v>63</v>
      </c>
      <c r="B34" s="24" t="s">
        <v>64</v>
      </c>
      <c r="C34" s="22"/>
      <c r="D34" s="22"/>
      <c r="E34" s="22"/>
      <c r="F34" s="22"/>
      <c r="G34" s="22"/>
      <c r="H34" s="5"/>
    </row>
    <row r="35">
      <c r="A35" s="23" t="s">
        <v>65</v>
      </c>
      <c r="B35" s="29"/>
      <c r="C35" s="22"/>
      <c r="D35" s="22"/>
      <c r="E35" s="22"/>
      <c r="F35" s="22"/>
      <c r="G35" s="22"/>
      <c r="H35" s="5"/>
    </row>
    <row r="36">
      <c r="A36" s="23" t="s">
        <v>66</v>
      </c>
      <c r="B36" s="29"/>
      <c r="C36" s="22"/>
      <c r="D36" s="22"/>
      <c r="E36" s="22"/>
      <c r="F36" s="22"/>
      <c r="G36" s="22"/>
      <c r="H36" s="5"/>
    </row>
    <row r="37">
      <c r="A37" s="23" t="s">
        <v>67</v>
      </c>
      <c r="B37" s="29"/>
      <c r="C37" s="22"/>
      <c r="D37" s="22"/>
      <c r="E37" s="22"/>
      <c r="F37" s="22"/>
      <c r="G37" s="22"/>
      <c r="H37" s="5"/>
    </row>
    <row r="38">
      <c r="A38" s="34" t="s">
        <v>68</v>
      </c>
      <c r="B38" s="29"/>
      <c r="C38" s="22"/>
      <c r="D38" s="22"/>
      <c r="E38" s="22"/>
      <c r="F38" s="22"/>
      <c r="G38" s="22"/>
      <c r="H38" s="5"/>
    </row>
    <row r="39">
      <c r="A39" s="20"/>
      <c r="B39" s="20"/>
      <c r="C39" s="20"/>
      <c r="D39" s="20"/>
      <c r="E39" s="20"/>
      <c r="F39" s="20"/>
      <c r="G39" s="20"/>
      <c r="H39" s="20"/>
    </row>
    <row r="40">
      <c r="A40" s="21" t="s">
        <v>69</v>
      </c>
      <c r="B40" s="22"/>
      <c r="C40" s="22"/>
      <c r="D40" s="22"/>
      <c r="E40" s="22"/>
      <c r="F40" s="22"/>
      <c r="G40" s="22"/>
      <c r="H40" s="5"/>
    </row>
    <row r="41">
      <c r="A41" s="34" t="s">
        <v>70</v>
      </c>
      <c r="B41" s="39" t="s">
        <v>71</v>
      </c>
      <c r="C41" s="22"/>
      <c r="D41" s="22"/>
      <c r="E41" s="22"/>
      <c r="F41" s="22"/>
      <c r="G41" s="30" t="s">
        <v>72</v>
      </c>
      <c r="H41" s="5"/>
    </row>
    <row r="42">
      <c r="A42" s="34" t="s">
        <v>73</v>
      </c>
      <c r="B42" s="39" t="s">
        <v>74</v>
      </c>
      <c r="C42" s="22"/>
      <c r="D42" s="22"/>
      <c r="E42" s="22"/>
      <c r="F42" s="22"/>
      <c r="G42" s="30" t="s">
        <v>72</v>
      </c>
      <c r="H42" s="5"/>
    </row>
    <row r="43">
      <c r="A43" s="34" t="s">
        <v>75</v>
      </c>
      <c r="B43" s="39" t="s">
        <v>76</v>
      </c>
      <c r="C43" s="22"/>
      <c r="D43" s="22"/>
      <c r="E43" s="22"/>
      <c r="F43" s="22"/>
      <c r="G43" s="30" t="s">
        <v>72</v>
      </c>
      <c r="H43" s="5"/>
    </row>
    <row r="44">
      <c r="A44" s="34" t="s">
        <v>77</v>
      </c>
      <c r="B44" s="39" t="s">
        <v>78</v>
      </c>
      <c r="C44" s="22"/>
      <c r="D44" s="22"/>
      <c r="E44" s="22"/>
      <c r="F44" s="22"/>
      <c r="G44" s="30" t="s">
        <v>72</v>
      </c>
      <c r="H44" s="5"/>
    </row>
    <row r="45">
      <c r="A45" s="34" t="s">
        <v>79</v>
      </c>
      <c r="B45" s="39" t="s">
        <v>80</v>
      </c>
      <c r="C45" s="22"/>
      <c r="D45" s="22"/>
      <c r="E45" s="22"/>
      <c r="F45" s="22"/>
      <c r="G45" s="30" t="s">
        <v>72</v>
      </c>
      <c r="H45" s="5"/>
    </row>
    <row r="46">
      <c r="A46" s="40" t="s">
        <v>81</v>
      </c>
      <c r="B46" s="35" t="s">
        <v>82</v>
      </c>
      <c r="C46" s="22"/>
      <c r="D46" s="22"/>
      <c r="E46" s="22"/>
      <c r="F46" s="22"/>
      <c r="G46" s="41" t="str">
        <f>IFERROR(AVERAGEIF(G41:G45,"&gt;0"),"")</f>
        <v/>
      </c>
      <c r="H46" s="5"/>
    </row>
    <row r="47">
      <c r="A47" s="20"/>
      <c r="B47" s="20"/>
      <c r="C47" s="20"/>
      <c r="D47" s="20"/>
      <c r="E47" s="20"/>
      <c r="F47" s="20"/>
      <c r="G47" s="20"/>
      <c r="H47" s="20"/>
    </row>
    <row r="48">
      <c r="A48" s="21" t="s">
        <v>83</v>
      </c>
      <c r="B48" s="22"/>
      <c r="C48" s="22"/>
      <c r="D48" s="22"/>
      <c r="E48" s="22"/>
      <c r="F48" s="22"/>
      <c r="G48" s="22"/>
      <c r="H48" s="5"/>
    </row>
    <row r="49">
      <c r="A49" s="23" t="s">
        <v>84</v>
      </c>
      <c r="B49" s="42"/>
      <c r="C49" s="22"/>
      <c r="D49" s="22"/>
      <c r="E49" s="22"/>
      <c r="F49" s="22"/>
      <c r="G49" s="22"/>
      <c r="H49" s="5"/>
    </row>
    <row r="50">
      <c r="A50" s="23" t="s">
        <v>85</v>
      </c>
      <c r="B50" s="24" t="s">
        <v>86</v>
      </c>
      <c r="C50" s="22"/>
      <c r="D50" s="22"/>
      <c r="E50" s="22"/>
      <c r="F50" s="22"/>
      <c r="G50" s="22"/>
      <c r="H50" s="5"/>
    </row>
    <row r="51">
      <c r="A51" s="23" t="s">
        <v>87</v>
      </c>
      <c r="B51" s="24" t="s">
        <v>88</v>
      </c>
      <c r="C51" s="22"/>
      <c r="D51" s="22"/>
      <c r="E51" s="22"/>
      <c r="F51" s="22"/>
      <c r="G51" s="22"/>
      <c r="H51" s="5"/>
    </row>
    <row r="52">
      <c r="A52" s="23" t="s">
        <v>89</v>
      </c>
      <c r="B52" s="24" t="s">
        <v>90</v>
      </c>
      <c r="C52" s="22"/>
      <c r="D52" s="22"/>
      <c r="E52" s="22"/>
      <c r="F52" s="22"/>
      <c r="G52" s="22"/>
      <c r="H52" s="5"/>
    </row>
    <row r="53">
      <c r="A53" s="20"/>
      <c r="B53" s="20"/>
      <c r="C53" s="20"/>
      <c r="D53" s="20"/>
      <c r="E53" s="20"/>
      <c r="F53" s="20"/>
      <c r="G53" s="20"/>
      <c r="H53" s="20"/>
    </row>
    <row r="54">
      <c r="A54" s="21" t="s">
        <v>91</v>
      </c>
      <c r="B54" s="22"/>
      <c r="C54" s="22"/>
      <c r="D54" s="22"/>
      <c r="E54" s="22"/>
      <c r="F54" s="22"/>
      <c r="G54" s="22"/>
      <c r="H54" s="5"/>
    </row>
    <row r="55">
      <c r="A55" s="23" t="s">
        <v>92</v>
      </c>
      <c r="B55" s="42"/>
      <c r="C55" s="22"/>
      <c r="D55" s="22"/>
      <c r="E55" s="22"/>
      <c r="F55" s="22"/>
      <c r="G55" s="22"/>
      <c r="H55" s="5"/>
    </row>
    <row r="56">
      <c r="A56" s="23" t="s">
        <v>93</v>
      </c>
      <c r="B56" s="29"/>
      <c r="C56" s="22"/>
      <c r="D56" s="22"/>
      <c r="E56" s="22"/>
      <c r="F56" s="22"/>
      <c r="G56" s="22"/>
      <c r="H56" s="5"/>
    </row>
    <row r="57">
      <c r="A57" s="23" t="s">
        <v>94</v>
      </c>
      <c r="B57" s="29"/>
      <c r="C57" s="22"/>
      <c r="D57" s="22"/>
      <c r="E57" s="22"/>
      <c r="F57" s="22"/>
      <c r="G57" s="22"/>
      <c r="H57" s="5"/>
    </row>
    <row r="58">
      <c r="A58" s="23" t="s">
        <v>95</v>
      </c>
      <c r="B58" s="29"/>
      <c r="C58" s="22"/>
      <c r="D58" s="22"/>
      <c r="E58" s="22"/>
      <c r="F58" s="22"/>
      <c r="G58" s="22"/>
      <c r="H58" s="5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D27:F27"/>
    <mergeCell ref="G27:H27"/>
    <mergeCell ref="B25:C25"/>
    <mergeCell ref="D25:F25"/>
    <mergeCell ref="G25:H25"/>
    <mergeCell ref="B26:C26"/>
    <mergeCell ref="D26:F26"/>
    <mergeCell ref="G26:H26"/>
    <mergeCell ref="A29:H29"/>
    <mergeCell ref="A33:H33"/>
    <mergeCell ref="B34:H34"/>
    <mergeCell ref="B35:H35"/>
    <mergeCell ref="B36:H36"/>
    <mergeCell ref="B37:H37"/>
    <mergeCell ref="B38:H38"/>
    <mergeCell ref="A40:H40"/>
    <mergeCell ref="B41:F41"/>
    <mergeCell ref="G41:H41"/>
    <mergeCell ref="B42:F42"/>
    <mergeCell ref="G42:H42"/>
    <mergeCell ref="B43:F43"/>
    <mergeCell ref="G43:H43"/>
    <mergeCell ref="G44:H44"/>
    <mergeCell ref="B50:H50"/>
    <mergeCell ref="B51:H51"/>
    <mergeCell ref="B52:H52"/>
    <mergeCell ref="A54:H54"/>
    <mergeCell ref="B55:H55"/>
    <mergeCell ref="B56:H56"/>
    <mergeCell ref="B57:H57"/>
    <mergeCell ref="B58:H58"/>
    <mergeCell ref="B44:F44"/>
    <mergeCell ref="B45:F45"/>
    <mergeCell ref="G45:H45"/>
    <mergeCell ref="B46:F46"/>
    <mergeCell ref="G46:H46"/>
    <mergeCell ref="A48:H48"/>
    <mergeCell ref="B49:H49"/>
    <mergeCell ref="A1:H1"/>
    <mergeCell ref="A2:H2"/>
    <mergeCell ref="A4:H4"/>
    <mergeCell ref="A8:H8"/>
    <mergeCell ref="B9:H9"/>
    <mergeCell ref="B10:H10"/>
    <mergeCell ref="B11:H11"/>
    <mergeCell ref="B12:H12"/>
    <mergeCell ref="B13:H13"/>
    <mergeCell ref="A15:H15"/>
    <mergeCell ref="A16:H16"/>
    <mergeCell ref="B18:C18"/>
    <mergeCell ref="D18:F18"/>
    <mergeCell ref="G18:H18"/>
    <mergeCell ref="D21:F21"/>
    <mergeCell ref="G21:H21"/>
    <mergeCell ref="B19:C19"/>
    <mergeCell ref="D19:F19"/>
    <mergeCell ref="G19:H19"/>
    <mergeCell ref="B20:C20"/>
    <mergeCell ref="D20:F20"/>
    <mergeCell ref="G20:H20"/>
    <mergeCell ref="B21:C21"/>
    <mergeCell ref="D24:F24"/>
    <mergeCell ref="G24:H24"/>
    <mergeCell ref="B22:C22"/>
    <mergeCell ref="D22:F22"/>
    <mergeCell ref="G22:H22"/>
    <mergeCell ref="B23:C23"/>
    <mergeCell ref="D23:F23"/>
    <mergeCell ref="G23:H23"/>
    <mergeCell ref="B24:C24"/>
    <mergeCell ref="B27:C27"/>
    <mergeCell ref="B30:C30"/>
    <mergeCell ref="D30:E30"/>
    <mergeCell ref="F30:H30"/>
    <mergeCell ref="B31:C31"/>
    <mergeCell ref="D31:E31"/>
    <mergeCell ref="F31:H31"/>
  </mergeCells>
  <dataValidations>
    <dataValidation type="list" allowBlank="1" showErrorMessage="1" sqref="B37">
      <formula1>"SÍ,NO,Pendiente"</formula1>
    </dataValidation>
    <dataValidation type="list" allowBlank="1" showErrorMessage="1" sqref="B38 B55">
      <formula1>"CUMPLE COPC,REQUIERE MEJORA"</formula1>
    </dataValidation>
    <dataValidation type="list" allowBlank="1" showErrorMessage="1" sqref="B35 B49">
      <formula1>"SI,NO"</formula1>
    </dataValidation>
    <dataValidation type="list" allowBlank="1" showErrorMessage="1" sqref="B36">
      <formula1>"SÍ,NO,Implicito"</formula1>
    </dataValidation>
  </dataValidations>
  <printOptions/>
  <pageMargins bottom="1.0" footer="0.0" header="0.0" left="0.75" right="0.75" top="1.0"/>
  <pageSetup paperSize="9" orientation="portrait"/>
  <drawing r:id="rId1"/>
</worksheet>
</file>